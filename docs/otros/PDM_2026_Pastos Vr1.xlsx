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planMinisterial\docs\otros\"/>
    </mc:Choice>
  </mc:AlternateContent>
  <xr:revisionPtr revIDLastSave="0" documentId="8_{160EE5C4-595C-4A07-929B-306EE1A1E515}" xr6:coauthVersionLast="47" xr6:coauthVersionMax="47" xr10:uidLastSave="{00000000-0000-0000-0000-000000000000}"/>
  <bookViews>
    <workbookView xWindow="-120" yWindow="-120" windowWidth="29040" windowHeight="15960" tabRatio="667" activeTab="4" xr2:uid="{00000000-000D-0000-FFFF-FFFF00000000}"/>
  </bookViews>
  <sheets>
    <sheet name="Información General" sheetId="7" r:id="rId1"/>
    <sheet name="Investigación" sheetId="2" r:id="rId2"/>
    <sheet name="Encarnación" sheetId="3" r:id="rId3"/>
    <sheet name="Evangelización" sheetId="4" r:id="rId4"/>
    <sheet name="Entrenamiento" sheetId="5" r:id="rId5"/>
    <sheet name="Autocuidado" sheetId="6" r:id="rId6"/>
    <sheet name="PDM Plantilla" sheetId="1" state="hidden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5" l="1"/>
  <c r="Q35" i="6"/>
  <c r="B36" i="7" s="1"/>
  <c r="Q35" i="1"/>
  <c r="O34" i="1"/>
  <c r="N34" i="1"/>
  <c r="O33" i="1"/>
  <c r="N33" i="1"/>
  <c r="O32" i="1"/>
  <c r="N32" i="1"/>
  <c r="O31" i="1"/>
  <c r="N31" i="1"/>
  <c r="O30" i="1"/>
  <c r="N30" i="1"/>
  <c r="O28" i="1"/>
  <c r="N28" i="1"/>
  <c r="O27" i="1"/>
  <c r="N27" i="1"/>
  <c r="O26" i="1"/>
  <c r="N26" i="1"/>
  <c r="O25" i="1"/>
  <c r="N25" i="1"/>
  <c r="O24" i="1"/>
  <c r="N24" i="1"/>
  <c r="O22" i="1"/>
  <c r="N22" i="1"/>
  <c r="O21" i="1"/>
  <c r="N21" i="1"/>
  <c r="O20" i="1"/>
  <c r="N20" i="1"/>
  <c r="O19" i="1"/>
  <c r="N19" i="1"/>
  <c r="O18" i="1"/>
  <c r="N18" i="1"/>
  <c r="O16" i="1"/>
  <c r="N16" i="1"/>
  <c r="O15" i="1"/>
  <c r="N15" i="1"/>
  <c r="O14" i="1"/>
  <c r="N14" i="1"/>
  <c r="O13" i="1"/>
  <c r="N13" i="1"/>
  <c r="O12" i="1"/>
  <c r="N12" i="1"/>
  <c r="O34" i="6"/>
  <c r="N34" i="6"/>
  <c r="O33" i="6"/>
  <c r="N33" i="6"/>
  <c r="O32" i="6"/>
  <c r="N32" i="6"/>
  <c r="O31" i="6"/>
  <c r="N31" i="6"/>
  <c r="O30" i="6"/>
  <c r="N30" i="6"/>
  <c r="O28" i="6"/>
  <c r="N28" i="6"/>
  <c r="O27" i="6"/>
  <c r="N27" i="6"/>
  <c r="O26" i="6"/>
  <c r="N26" i="6"/>
  <c r="O25" i="6"/>
  <c r="N25" i="6"/>
  <c r="O24" i="6"/>
  <c r="N24" i="6"/>
  <c r="O22" i="6"/>
  <c r="N22" i="6"/>
  <c r="O21" i="6"/>
  <c r="N21" i="6"/>
  <c r="O20" i="6"/>
  <c r="N20" i="6"/>
  <c r="O19" i="6"/>
  <c r="N19" i="6"/>
  <c r="O18" i="6"/>
  <c r="N18" i="6"/>
  <c r="O16" i="6"/>
  <c r="N16" i="6"/>
  <c r="O15" i="6"/>
  <c r="N15" i="6"/>
  <c r="O14" i="6"/>
  <c r="N14" i="6"/>
  <c r="N13" i="6"/>
  <c r="O12" i="6"/>
  <c r="N12" i="6"/>
  <c r="Q35" i="5"/>
  <c r="B35" i="7" s="1"/>
  <c r="O34" i="5"/>
  <c r="N34" i="5"/>
  <c r="O33" i="5"/>
  <c r="N33" i="5"/>
  <c r="O32" i="5"/>
  <c r="N32" i="5"/>
  <c r="O31" i="5"/>
  <c r="N31" i="5"/>
  <c r="O30" i="5"/>
  <c r="N30" i="5"/>
  <c r="O28" i="5"/>
  <c r="N28" i="5"/>
  <c r="O27" i="5"/>
  <c r="N27" i="5"/>
  <c r="O26" i="5"/>
  <c r="N26" i="5"/>
  <c r="O25" i="5"/>
  <c r="N25" i="5"/>
  <c r="O24" i="5"/>
  <c r="N24" i="5"/>
  <c r="O22" i="5"/>
  <c r="N22" i="5"/>
  <c r="O21" i="5"/>
  <c r="N21" i="5"/>
  <c r="O20" i="5"/>
  <c r="N20" i="5"/>
  <c r="O19" i="5"/>
  <c r="N19" i="5"/>
  <c r="O18" i="5"/>
  <c r="N18" i="5"/>
  <c r="O16" i="5"/>
  <c r="N16" i="5"/>
  <c r="O15" i="5"/>
  <c r="N15" i="5"/>
  <c r="O14" i="5"/>
  <c r="N14" i="5"/>
  <c r="O13" i="5"/>
  <c r="N13" i="5"/>
  <c r="O12" i="5"/>
  <c r="N12" i="5"/>
  <c r="Q35" i="4"/>
  <c r="B34" i="7" s="1"/>
  <c r="O34" i="4"/>
  <c r="N34" i="4"/>
  <c r="O33" i="4"/>
  <c r="N33" i="4"/>
  <c r="O32" i="4"/>
  <c r="N32" i="4"/>
  <c r="O31" i="4"/>
  <c r="N31" i="4"/>
  <c r="O30" i="4"/>
  <c r="N30" i="4"/>
  <c r="O28" i="4"/>
  <c r="N28" i="4"/>
  <c r="O27" i="4"/>
  <c r="N27" i="4"/>
  <c r="O26" i="4"/>
  <c r="N26" i="4"/>
  <c r="O25" i="4"/>
  <c r="N25" i="4"/>
  <c r="O24" i="4"/>
  <c r="N24" i="4"/>
  <c r="O22" i="4"/>
  <c r="N22" i="4"/>
  <c r="O21" i="4"/>
  <c r="N21" i="4"/>
  <c r="O20" i="4"/>
  <c r="N20" i="4"/>
  <c r="O19" i="4"/>
  <c r="N19" i="4"/>
  <c r="O18" i="4"/>
  <c r="N18" i="4"/>
  <c r="O16" i="4"/>
  <c r="N16" i="4"/>
  <c r="O15" i="4"/>
  <c r="N15" i="4"/>
  <c r="O14" i="4"/>
  <c r="N14" i="4"/>
  <c r="O13" i="4"/>
  <c r="N13" i="4"/>
  <c r="O12" i="4"/>
  <c r="N12" i="4"/>
  <c r="Q35" i="3"/>
  <c r="B33" i="7" s="1"/>
  <c r="O34" i="3"/>
  <c r="N34" i="3"/>
  <c r="O33" i="3"/>
  <c r="N33" i="3"/>
  <c r="O32" i="3"/>
  <c r="N32" i="3"/>
  <c r="O31" i="3"/>
  <c r="N31" i="3"/>
  <c r="O30" i="3"/>
  <c r="N30" i="3"/>
  <c r="O28" i="3"/>
  <c r="N28" i="3"/>
  <c r="O27" i="3"/>
  <c r="N27" i="3"/>
  <c r="O26" i="3"/>
  <c r="N26" i="3"/>
  <c r="O25" i="3"/>
  <c r="N25" i="3"/>
  <c r="O24" i="3"/>
  <c r="N24" i="3"/>
  <c r="O22" i="3"/>
  <c r="N22" i="3"/>
  <c r="O21" i="3"/>
  <c r="N21" i="3"/>
  <c r="O20" i="3"/>
  <c r="N20" i="3"/>
  <c r="O19" i="3"/>
  <c r="N19" i="3"/>
  <c r="O18" i="3"/>
  <c r="N18" i="3"/>
  <c r="O16" i="3"/>
  <c r="N16" i="3"/>
  <c r="O15" i="3"/>
  <c r="N15" i="3"/>
  <c r="O14" i="3"/>
  <c r="N14" i="3"/>
  <c r="O13" i="3"/>
  <c r="N13" i="3"/>
  <c r="O12" i="3"/>
  <c r="N12" i="3"/>
  <c r="Q35" i="2"/>
  <c r="B32" i="7" s="1"/>
  <c r="B31" i="7" l="1"/>
  <c r="O34" i="2"/>
  <c r="N34" i="2"/>
  <c r="O33" i="2"/>
  <c r="N33" i="2"/>
  <c r="O32" i="2"/>
  <c r="N32" i="2"/>
  <c r="O31" i="2"/>
  <c r="N31" i="2"/>
  <c r="O30" i="2"/>
  <c r="N30" i="2"/>
  <c r="O28" i="2"/>
  <c r="N28" i="2"/>
  <c r="O27" i="2"/>
  <c r="N27" i="2"/>
  <c r="O26" i="2"/>
  <c r="N26" i="2"/>
  <c r="O25" i="2"/>
  <c r="N25" i="2"/>
  <c r="O24" i="2"/>
  <c r="N24" i="2"/>
  <c r="O22" i="2"/>
  <c r="N22" i="2"/>
  <c r="O21" i="2"/>
  <c r="N21" i="2"/>
  <c r="O20" i="2"/>
  <c r="N20" i="2"/>
  <c r="O19" i="2"/>
  <c r="N19" i="2"/>
  <c r="O18" i="2"/>
  <c r="N18" i="2"/>
  <c r="O16" i="2"/>
  <c r="N16" i="2"/>
  <c r="O15" i="2"/>
  <c r="N15" i="2"/>
  <c r="O14" i="2"/>
  <c r="N14" i="2"/>
  <c r="O13" i="2"/>
  <c r="N13" i="2"/>
  <c r="O12" i="2"/>
  <c r="N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Hudisa</author>
  </authors>
  <commentList>
    <comment ref="Q20" authorId="0" shapeId="0" xr:uid="{8FDD8F5A-7ADF-4546-8008-2FA7C268C860}">
      <text>
        <r>
          <rPr>
            <b/>
            <sz val="9"/>
            <color indexed="81"/>
            <rFont val="Tahoma"/>
            <family val="2"/>
          </rPr>
          <t>Hudisa:</t>
        </r>
        <r>
          <rPr>
            <sz val="9"/>
            <color indexed="81"/>
            <rFont val="Tahoma"/>
            <family val="2"/>
          </rPr>
          <t xml:space="preserve">
Realizar al menos 30  visitas mensuales, durante 11 meses. 
30 * $2.000 * 11 = $660.000</t>
        </r>
      </text>
    </comment>
    <comment ref="P21" authorId="0" shapeId="0" xr:uid="{3E5BBE6B-77F2-432D-A4C1-44D2A715FDC1}">
      <text>
        <r>
          <rPr>
            <b/>
            <sz val="9"/>
            <color indexed="81"/>
            <rFont val="Tahoma"/>
            <family val="2"/>
          </rPr>
          <t>Hudisa:</t>
        </r>
        <r>
          <rPr>
            <sz val="9"/>
            <color indexed="81"/>
            <rFont val="Tahoma"/>
            <family val="2"/>
          </rPr>
          <t xml:space="preserve">
$150.000 gasolina mensual
$150,000 Rodamiento</t>
        </r>
      </text>
    </comment>
    <comment ref="Q25" authorId="0" shapeId="0" xr:uid="{FBB353BA-7665-4FBA-9781-253AA8E401C1}">
      <text>
        <r>
          <rPr>
            <b/>
            <sz val="9"/>
            <color indexed="81"/>
            <rFont val="Tahoma"/>
            <family val="2"/>
          </rPr>
          <t>Hudisa:</t>
        </r>
        <r>
          <rPr>
            <sz val="9"/>
            <color indexed="81"/>
            <rFont val="Tahoma"/>
            <family val="2"/>
          </rPr>
          <t xml:space="preserve">
Dinero usado para la compra de refrigerio. Parte la pone Misincol, la otra la iglesia.</t>
        </r>
      </text>
    </comment>
    <comment ref="Q28" authorId="0" shapeId="0" xr:uid="{D4E0A248-39B1-4D2D-BC2D-53B1047406D0}">
      <text>
        <r>
          <rPr>
            <b/>
            <sz val="9"/>
            <color indexed="81"/>
            <rFont val="Tahoma"/>
            <family val="2"/>
          </rPr>
          <t>Hudisa:</t>
        </r>
        <r>
          <rPr>
            <sz val="9"/>
            <color indexed="81"/>
            <rFont val="Tahoma"/>
            <family val="2"/>
          </rPr>
          <t xml:space="preserve">
Este valor puede estar sujeto a cambios.
La iglesia local tambien pondrá  parte del presupuesto</t>
        </r>
      </text>
    </comment>
  </commentList>
</comments>
</file>

<file path=xl/sharedStrings.xml><?xml version="1.0" encoding="utf-8"?>
<sst xmlns="http://schemas.openxmlformats.org/spreadsheetml/2006/main" count="571" uniqueCount="175">
  <si>
    <t>Equipo:</t>
  </si>
  <si>
    <t>RESPONSABLE</t>
  </si>
  <si>
    <t>PRESUPUESTO</t>
  </si>
  <si>
    <t>FECHA INICIO</t>
  </si>
  <si>
    <t>FECHA FINAL</t>
  </si>
  <si>
    <t>INDICADOR DE RESULTADO</t>
  </si>
  <si>
    <t>En proceso</t>
  </si>
  <si>
    <t>Iniciado</t>
  </si>
  <si>
    <t>Avanzado</t>
  </si>
  <si>
    <t>Terminado</t>
  </si>
  <si>
    <t>SEMANAS RESTANTES</t>
  </si>
  <si>
    <t>ESTADO</t>
  </si>
  <si>
    <t>UNITARIO</t>
  </si>
  <si>
    <t>TOTAL</t>
  </si>
  <si>
    <t>TOTAL DE SEMANAS</t>
  </si>
  <si>
    <t xml:space="preserve">Contacto </t>
  </si>
  <si>
    <t>Respuesta</t>
  </si>
  <si>
    <t>Reunirse</t>
  </si>
  <si>
    <t>Consolidar</t>
  </si>
  <si>
    <t>Liderazgo</t>
  </si>
  <si>
    <t>Desarrollo Eclesial</t>
  </si>
  <si>
    <t>SEGMENTO</t>
  </si>
  <si>
    <t>Comunicar</t>
  </si>
  <si>
    <t>A mediano plazo</t>
  </si>
  <si>
    <t>A largo plazo</t>
  </si>
  <si>
    <t>Barí</t>
  </si>
  <si>
    <t>Nukak</t>
  </si>
  <si>
    <t>Estindus</t>
  </si>
  <si>
    <t>Katios</t>
  </si>
  <si>
    <t>Pastos</t>
  </si>
  <si>
    <t>Baudó</t>
  </si>
  <si>
    <t>Kamsá</t>
  </si>
  <si>
    <t>Atrazado</t>
  </si>
  <si>
    <t>Elija estado</t>
  </si>
  <si>
    <t>SITUACIÓN ACTUAL</t>
  </si>
  <si>
    <t>META  MEDIBLE</t>
  </si>
  <si>
    <t>DESCRIPCIÓN DE ACTVIDADES</t>
  </si>
  <si>
    <t>Área: Investigación</t>
  </si>
  <si>
    <t>Elija Equipo</t>
  </si>
  <si>
    <t>Objetivo de área # 1:</t>
  </si>
  <si>
    <t>Integrantes:</t>
  </si>
  <si>
    <t>Numero de veces en el año</t>
  </si>
  <si>
    <t>Frecuencia de la actividad</t>
  </si>
  <si>
    <t>Objetivo de área # 2:</t>
  </si>
  <si>
    <t>Lider de equipo:</t>
  </si>
  <si>
    <t>Objetivo de área # 3</t>
  </si>
  <si>
    <t>Objetivo de área # 4:</t>
  </si>
  <si>
    <t>Año</t>
  </si>
  <si>
    <t>Población:</t>
  </si>
  <si>
    <t>Número de congregaciones evangélicas</t>
  </si>
  <si>
    <t>Número de evangélicos</t>
  </si>
  <si>
    <t>Cuantas personas escucharon algo del Evangelio?</t>
  </si>
  <si>
    <t>Cuántas personas tuvieron la oportunidad de responder a Cristo?</t>
  </si>
  <si>
    <t>Cuántos de los que escucharon el Evangelio creyeron el mensaje?</t>
  </si>
  <si>
    <t>Cuántos de los creyentes fueron bautizados?</t>
  </si>
  <si>
    <t>Cuantos grupos con perspectivas de ser iglesias se están reuniendo?</t>
  </si>
  <si>
    <t>Número de iglesias al final de este período</t>
  </si>
  <si>
    <t>Nuevas iglesias de primera generación?</t>
  </si>
  <si>
    <t>Nuevas iglesias de segunda generación?</t>
  </si>
  <si>
    <t>Nuevas iglesias de tercera generación?</t>
  </si>
  <si>
    <t>Se perdió alguna iglesia de primera generación?</t>
  </si>
  <si>
    <t>Se perdió alguna iglesia de segunda generación?</t>
  </si>
  <si>
    <t>Se perdió alguna iglesia de tercera generación?</t>
  </si>
  <si>
    <t>Cuántos hombres han recibido entrenamiento pastoral práctico?</t>
  </si>
  <si>
    <t>Cuantás personas han sido mentoreadas personalmente?</t>
  </si>
  <si>
    <t>Cuantás personas están participado de estudios bíblicos con regularidad?</t>
  </si>
  <si>
    <t>Presupuesto Total:</t>
  </si>
  <si>
    <t>Investigación:</t>
  </si>
  <si>
    <t>Encarnación:</t>
  </si>
  <si>
    <t>Evangelización:</t>
  </si>
  <si>
    <t>Auto Cuidado:</t>
  </si>
  <si>
    <t>Entrenamiento:</t>
  </si>
  <si>
    <t>Integrantes Equipo:</t>
  </si>
  <si>
    <t>1.</t>
  </si>
  <si>
    <t>2.</t>
  </si>
  <si>
    <t>3.</t>
  </si>
  <si>
    <t>4.</t>
  </si>
  <si>
    <t>5.</t>
  </si>
  <si>
    <t>6.</t>
  </si>
  <si>
    <t>7.</t>
  </si>
  <si>
    <t>Lider de Equipo:</t>
  </si>
  <si>
    <t xml:space="preserve">Equipo: </t>
  </si>
  <si>
    <t>Información de Campo</t>
  </si>
  <si>
    <t>Lugar de ministerio:</t>
  </si>
  <si>
    <t>Contacto</t>
  </si>
  <si>
    <t>Cuantas personas se ven interezadas en el evangelio?</t>
  </si>
  <si>
    <t>Comunicando</t>
  </si>
  <si>
    <t>Respondiendo</t>
  </si>
  <si>
    <t>Consolidando</t>
  </si>
  <si>
    <t>Desarrollo eclesial</t>
  </si>
  <si>
    <t>Cuántas personas fueron contactadas por primera vez?</t>
  </si>
  <si>
    <t>Cuantos discipulos  recibieron entrenamiento en otras áreas?</t>
  </si>
  <si>
    <t>Cuántos discipulos han recibido entrenamiento para comenzar iglesias nuevas?</t>
  </si>
  <si>
    <t>Cuántos discipulos han recibido entrenamiento ministerial práctico?</t>
  </si>
  <si>
    <t>Cuantos discipulos recibieron entrenamiento bíblico ?</t>
  </si>
  <si>
    <t>De los que han escuchado algo del Evangelio, cuántos creeen que están buscando a Dios?</t>
  </si>
  <si>
    <t>Obstáculos a vencer</t>
  </si>
  <si>
    <t>PLAN DE DESARROLLO MINISTERIAL (PDM)</t>
  </si>
  <si>
    <t>Fecha inicio :</t>
  </si>
  <si>
    <t>Área: Encarnación</t>
  </si>
  <si>
    <t>objetivo #:</t>
  </si>
  <si>
    <t>Objetivo #:</t>
  </si>
  <si>
    <t>Área: Evangelización</t>
  </si>
  <si>
    <t>Área: Entrenamiento</t>
  </si>
  <si>
    <t>Área: Auto Cuidado</t>
  </si>
  <si>
    <t>ETAPAS</t>
  </si>
  <si>
    <t>Elija Etapa</t>
  </si>
  <si>
    <t>ETAPA</t>
  </si>
  <si>
    <t>Elija Estado</t>
  </si>
  <si>
    <t xml:space="preserve">Esenciales a desarrollar </t>
  </si>
  <si>
    <t>Etapas de enfoque</t>
  </si>
  <si>
    <t>*Cuantos grupos nuevos (en este año) se están reuniendo?*</t>
  </si>
  <si>
    <t>No hay segmentos en particular, organizar actividades de autocuidado del misionero.</t>
  </si>
  <si>
    <t>Facilitar a los creyentes los espacios para identificar y ejercer los dones que Dios les ha dado y así mismo, delegar mayor responsabilidad en el desarrollo de actividades como iglesia: Enseñanza, dirección de actividades, alabanza etc</t>
  </si>
  <si>
    <t>Brindar y reforzar las herramientas necesarias (análisis bíblico, narrativa, elaboración de estudios bíblicos) a los creyentes y en especial al grupo de liderazgo*, con el fin de ejercer dones y estar en capacidad de dar continuidad de manera autónoma al trabajo de establecimiento del Reino de Dios entre el pueblo Pastos.</t>
  </si>
  <si>
    <t>Fomentar el establecimiento de un espacio un día a la semana para estudio bíblico familiar, el cual es dirigido por el padre de familia.</t>
  </si>
  <si>
    <t>Mantener un plan de visitas con el fin de optimizar esta labor y a su vez facilitar el involucramiento de los hermanos.</t>
  </si>
  <si>
    <t>Involucrar a los hermanos en las diferentes actividades que realizamos como comunidad de fe (tiempos de oración, visitas, dirección de reuniones), con el fin de que esto les permita identificar y desarrollar sus dones.</t>
  </si>
  <si>
    <t>Mantener visitas programadas, establecer relaciones de confianza más fuertes entorno a nuevos espacios de estudio bíblico.</t>
  </si>
  <si>
    <t>Hugo Solorza</t>
  </si>
  <si>
    <t>Desarrollar actividades que fortalezcan el crecimiento integral y el desarrollo de una sana iglesia (visitas, evangelismo, espacios de oración)</t>
  </si>
  <si>
    <t>Brindar a las maestras herramientas de enseñanza y evangelismo dirigidos a la  enseñanza de niños.</t>
  </si>
  <si>
    <t>Animar a los creyentes a compartir con otros su fe en su experiencia de vida cotidiana con el fin de  generar nuevos espacios para el desarrollo de estudios.</t>
  </si>
  <si>
    <t>Fortalecer el conocimiento y  uso de herramientas para el estudio y la enseñanza (Narrativa, inductivo…) de la palabra de Dios, mediante la práctica en los diferentes grupos, facilitando así el desarrollo de la enseñanza.</t>
  </si>
  <si>
    <t xml:space="preserve">En el seugndo semestre realizar dos talleres más. </t>
  </si>
  <si>
    <t>semestral</t>
  </si>
  <si>
    <t>Generar espacios para la enseñanza bíblica, grupo de oración, alabanza etc. que faciliten identificar los dones y su posterior ejercicio en medio de la comunidad de fe.</t>
  </si>
  <si>
    <t>Actualmente los espacios que se tienen son definidos por reuniones de los domingos y reuniones en semana. Las reuniones en semana son desarrolladas por ellos.</t>
  </si>
  <si>
    <t>Que almenos el 40% de los creyentes al primer semestre se haya involucrado de manera directa en alguna de las actividades cotidianas de la iglesia.</t>
  </si>
  <si>
    <t>Que el 60% de los creyentes este de manera activa involucrado en alguna de las áreas ministeriales.</t>
  </si>
  <si>
    <t>constante</t>
  </si>
  <si>
    <t>Tiempo disponible por parte de los hermanos.</t>
  </si>
  <si>
    <t>Hasta el 2025 hemos acompañado de manera más directa el desarrollo de los procesos de la iglesia. Todavía hay temor en asumir responsabilidades.</t>
  </si>
  <si>
    <t>Que para el mes de julio la mitad de la iglesia haga regularmenet los estudio biblicos en familia.</t>
  </si>
  <si>
    <t>Que la totalidad de la iglesia haga su estudio biblico familiar al menos una vez a la semana</t>
  </si>
  <si>
    <t xml:space="preserve">Diana </t>
  </si>
  <si>
    <t>Todo el año</t>
  </si>
  <si>
    <t>Constante</t>
  </si>
  <si>
    <t>Que la planeación del primer semestre sea realizada con acompañamiento nuestro</t>
  </si>
  <si>
    <t>La planeación del segundo semestre será realizada por el liderazgo de la iglesia</t>
  </si>
  <si>
    <t>Delegar al liderazgo de la iglesia, la dirección y desarrollo de los estudios tanto en la reunión general como  iglesia, así como en los lugares de reunión.</t>
  </si>
  <si>
    <t>No hay un hábito por el estudio o lectura-escuha- de la palabra en los hogares</t>
  </si>
  <si>
    <t>No hay una participación activa por parte de gran numero de hermanos, por ser un grupo comunitario quienes siempre lo hacen tienen la tendencia a tomar las cosas por obligación.</t>
  </si>
  <si>
    <t>Hay un grupo de 10 hermanos que han asumido  responsabilidad de liderar en la  iglesa. Tambien han recibido instrucción básica a lo largo del 2025</t>
  </si>
  <si>
    <t>Realizar 2 talleres sobre estudio de las escrituras y narrativa en el primer semestre</t>
  </si>
  <si>
    <t>Que los momentos de visitar sean de crecimiento y fortalecimiento relacional.</t>
  </si>
  <si>
    <t xml:space="preserve"> El propósito es motivar a visitarse a fin de mejorar relaciones, orar juntos y sobre llevar cargas.</t>
  </si>
  <si>
    <t xml:space="preserve">Las visitas no son muy comúnes(por aspectos culturales), pero el propósito es orientar la actividad a fin de  generar acercamientos entre los hermanos. </t>
  </si>
  <si>
    <t>hay necesidad de fortalecer cada vez más el acercamiento entre las mujeres, hay factores emocionales quefacilitan ser tratados  en espacios más privados.</t>
  </si>
  <si>
    <t>Diana</t>
  </si>
  <si>
    <t>Bimensual</t>
  </si>
  <si>
    <t>Sostener reuniones de oración y estudio con un grupo de mujeres creyentes y no creyentes. 5 sesiones, cada 2 meses. (Febrero, Mayo, Agosto, Noviembre)</t>
  </si>
  <si>
    <t>Por medio de un acompañamiento personal, motivar a las mujeres para que puedan tener tiempo con otra mujer no creyente para orar por sus familias y presentar el evangelio.</t>
  </si>
  <si>
    <t>Diaria</t>
  </si>
  <si>
    <t>indeterminada</t>
  </si>
  <si>
    <t>Transporte para realizar diferentes visitas y reuniones a las afueras de Cumbal</t>
  </si>
  <si>
    <t>Los recorridos se hacen en carro o moto, según las condiciones.</t>
  </si>
  <si>
    <t xml:space="preserve">Hay lugares apartados de cumbal en los cuales no hay grupo de estudio o conocidos directos. Panan, chiles, boyera, san diego. </t>
  </si>
  <si>
    <t>No se ha logrado un habito o responsabilidad  como creyentes frente a la gran comisión</t>
  </si>
  <si>
    <t>Establecer un plan de trabajo evangelistico que permita iniciar al menos 4 nuevos grupos de estudio durante el año, generados directamente por la iglesia.</t>
  </si>
  <si>
    <t>Por diversas razones no hay una identidad más plena de la vida como creyentes en los diferentes lugares donde viven los miembros de la iglesia.</t>
  </si>
  <si>
    <t>UNITARIO                      (Mensual)</t>
  </si>
  <si>
    <t>TOTAL                (Anual)</t>
  </si>
  <si>
    <t>Reuniones especiales de integración como iglesia que faciliten mejorar relaciones y crear coheción.</t>
  </si>
  <si>
    <t>Devido a dificultades generadas al interior de la iglesia, hay un sentimiento de alejamiento entre varios hermanos, lo cual ha generado diviciones.</t>
  </si>
  <si>
    <t>capacitar a maestras de niños, expositores de la palabra, personas de la alabanza y tesorero y secretaria de la iglesia, de modo que tengan las herramientas necesarias para desarrollar su ministerio.</t>
  </si>
  <si>
    <t>mensual</t>
  </si>
  <si>
    <t>hugo Solorza</t>
  </si>
  <si>
    <t>El desarrollo eclesial requiere fortalecer diferentes áreas de servicio, se hace necesario dar algún tipo de capacitación afin a cada ministerio.</t>
  </si>
  <si>
    <t>Diana Viera</t>
  </si>
  <si>
    <t>Cumbal</t>
  </si>
  <si>
    <t>Desarrollo Ecle.</t>
  </si>
  <si>
    <t>Entrenamiento</t>
  </si>
  <si>
    <r>
      <rPr>
        <b/>
        <sz val="11"/>
        <color rgb="FFFF0000"/>
        <rFont val="Tw Cen MT"/>
        <family val="2"/>
      </rPr>
      <t>PROYECTO ESPECIAL</t>
    </r>
    <r>
      <rPr>
        <sz val="11"/>
        <color rgb="FFFF0000"/>
        <rFont val="Tw Cen MT"/>
        <family val="2"/>
      </rPr>
      <t>:</t>
    </r>
    <r>
      <rPr>
        <sz val="11"/>
        <rFont val="Tw Cen MT"/>
        <family val="2"/>
      </rPr>
      <t xml:space="preserve"> Realizar un tiempo de retiro familiar que ayude a fortalecer las relaciones intrafamiliares y sirva de oxigenación a las relaciones como iglesia.</t>
    </r>
  </si>
  <si>
    <t>Proyectar actividades en los hogares de los hermanos para acercar a nuevas personas, actividades como reuniones de mujeres, actividades para padres entre otras.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</si>
</sst>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;"/>
    <numFmt numFmtId="167" formatCode="dd/mm/yy;@"/>
    <numFmt numFmtId="168" formatCode="_-[$$-240A]\ * #,##0_-;\-[$$-240A]\ * #,##0_-;_-[$$-240A]\ * &quot;-&quot;??_-;_-@_-"/>
  </numFmts>
  <fonts count="5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name val="Calibri"/>
      <family val="2"/>
    </font>
    <font>
      <b/>
      <sz val="11"/>
      <name val="Cambria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  <scheme val="major"/>
    </font>
    <font>
      <b/>
      <sz val="10"/>
      <name val="Cambria"/>
      <family val="1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1"/>
      <name val="Times New Roman"/>
      <family val="1"/>
    </font>
    <font>
      <sz val="11"/>
      <color theme="1"/>
      <name val="Cambria"/>
      <family val="1"/>
      <scheme val="maj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9"/>
      <name val="Cambria"/>
      <family val="1"/>
      <scheme val="major"/>
    </font>
    <font>
      <b/>
      <sz val="16"/>
      <name val="Calibri"/>
      <family val="2"/>
    </font>
    <font>
      <b/>
      <sz val="18"/>
      <name val="Calibri"/>
      <family val="2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1"/>
      <name val="Tw Cen MT"/>
      <family val="2"/>
    </font>
    <font>
      <sz val="12"/>
      <name val="Tw Cen MT"/>
      <family val="2"/>
    </font>
    <font>
      <sz val="11"/>
      <color theme="1"/>
      <name val="Tw Cen M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Tw Cen MT"/>
      <family val="2"/>
    </font>
    <font>
      <b/>
      <sz val="11"/>
      <color rgb="FFFF0000"/>
      <name val="Tw Cen MT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double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indexed="64"/>
      </right>
      <top/>
      <bottom style="double">
        <color theme="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1" fillId="9" borderId="0" applyNumberFormat="0" applyBorder="0" applyAlignment="0" applyProtection="0"/>
  </cellStyleXfs>
  <cellXfs count="323">
    <xf numFmtId="0" fontId="0" fillId="0" borderId="0" xfId="0"/>
    <xf numFmtId="0" fontId="0" fillId="0" borderId="0" xfId="0" applyAlignment="1" applyProtection="1">
      <alignment horizontal="right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top" wrapText="1"/>
      <protection locked="0"/>
    </xf>
    <xf numFmtId="0" fontId="7" fillId="0" borderId="0" xfId="0" applyFont="1" applyProtection="1">
      <protection locked="0"/>
    </xf>
    <xf numFmtId="9" fontId="7" fillId="0" borderId="0" xfId="0" applyNumberFormat="1" applyFont="1" applyProtection="1"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6" fillId="3" borderId="0" xfId="0" applyFont="1" applyFill="1" applyAlignment="1" applyProtection="1">
      <alignment vertical="center" wrapText="1"/>
      <protection locked="0"/>
    </xf>
    <xf numFmtId="0" fontId="6" fillId="3" borderId="0" xfId="0" applyFont="1" applyFill="1" applyAlignment="1" applyProtection="1">
      <alignment vertical="top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9" fontId="12" fillId="0" borderId="0" xfId="0" applyNumberFormat="1" applyFont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0" fillId="7" borderId="0" xfId="0" applyFill="1" applyAlignment="1" applyProtection="1">
      <alignment horizontal="right"/>
      <protection locked="0"/>
    </xf>
    <xf numFmtId="0" fontId="1" fillId="7" borderId="0" xfId="0" applyFont="1" applyFill="1" applyAlignment="1" applyProtection="1">
      <alignment horizontal="center" vertical="center"/>
      <protection locked="0"/>
    </xf>
    <xf numFmtId="0" fontId="0" fillId="7" borderId="4" xfId="0" applyFill="1" applyBorder="1" applyProtection="1">
      <protection locked="0"/>
    </xf>
    <xf numFmtId="0" fontId="0" fillId="7" borderId="0" xfId="0" applyFill="1" applyAlignment="1" applyProtection="1">
      <alignment horizontal="center" vertical="center"/>
      <protection locked="0"/>
    </xf>
    <xf numFmtId="0" fontId="25" fillId="7" borderId="6" xfId="0" applyFont="1" applyFill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4" fillId="3" borderId="0" xfId="0" applyFont="1" applyFill="1" applyProtection="1"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0" fillId="7" borderId="11" xfId="0" applyFill="1" applyBorder="1" applyProtection="1">
      <protection locked="0"/>
    </xf>
    <xf numFmtId="0" fontId="25" fillId="3" borderId="5" xfId="0" applyFont="1" applyFill="1" applyBorder="1" applyAlignment="1" applyProtection="1">
      <alignment horizontal="right" vertical="center"/>
      <protection locked="0"/>
    </xf>
    <xf numFmtId="0" fontId="25" fillId="7" borderId="3" xfId="0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27" fillId="7" borderId="7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7" fillId="7" borderId="15" xfId="0" applyFont="1" applyFill="1" applyBorder="1" applyAlignment="1" applyProtection="1">
      <alignment horizontal="center" vertical="center" wrapText="1"/>
      <protection locked="0"/>
    </xf>
    <xf numFmtId="0" fontId="22" fillId="7" borderId="5" xfId="0" applyFont="1" applyFill="1" applyBorder="1" applyAlignment="1" applyProtection="1">
      <alignment vertical="center" wrapText="1"/>
      <protection locked="0"/>
    </xf>
    <xf numFmtId="0" fontId="24" fillId="3" borderId="5" xfId="0" applyFont="1" applyFill="1" applyBorder="1" applyProtection="1">
      <protection locked="0"/>
    </xf>
    <xf numFmtId="0" fontId="0" fillId="7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26" fillId="7" borderId="0" xfId="0" applyFont="1" applyFill="1"/>
    <xf numFmtId="0" fontId="31" fillId="7" borderId="1" xfId="2" applyFill="1" applyBorder="1" applyAlignment="1">
      <alignment horizontal="center"/>
    </xf>
    <xf numFmtId="0" fontId="26" fillId="7" borderId="16" xfId="0" applyFont="1" applyFill="1" applyBorder="1"/>
    <xf numFmtId="0" fontId="26" fillId="7" borderId="16" xfId="0" applyFont="1" applyFill="1" applyBorder="1" applyAlignment="1">
      <alignment horizontal="center"/>
    </xf>
    <xf numFmtId="0" fontId="26" fillId="7" borderId="0" xfId="0" applyFont="1" applyFill="1" applyAlignment="1">
      <alignment horizontal="center"/>
    </xf>
    <xf numFmtId="0" fontId="33" fillId="7" borderId="0" xfId="0" applyFont="1" applyFill="1" applyAlignment="1">
      <alignment horizontal="center"/>
    </xf>
    <xf numFmtId="0" fontId="19" fillId="7" borderId="17" xfId="0" applyFont="1" applyFill="1" applyBorder="1"/>
    <xf numFmtId="0" fontId="26" fillId="7" borderId="17" xfId="0" applyFont="1" applyFill="1" applyBorder="1" applyAlignment="1">
      <alignment horizontal="center"/>
    </xf>
    <xf numFmtId="0" fontId="33" fillId="7" borderId="16" xfId="0" applyFont="1" applyFill="1" applyBorder="1" applyAlignment="1">
      <alignment horizontal="center"/>
    </xf>
    <xf numFmtId="0" fontId="33" fillId="7" borderId="17" xfId="0" applyFont="1" applyFill="1" applyBorder="1" applyAlignment="1">
      <alignment horizontal="center"/>
    </xf>
    <xf numFmtId="0" fontId="14" fillId="7" borderId="17" xfId="0" applyFont="1" applyFill="1" applyBorder="1"/>
    <xf numFmtId="0" fontId="31" fillId="7" borderId="0" xfId="2" applyFill="1" applyBorder="1" applyAlignment="1">
      <alignment horizontal="center"/>
    </xf>
    <xf numFmtId="0" fontId="31" fillId="7" borderId="3" xfId="2" applyFill="1" applyBorder="1" applyAlignment="1">
      <alignment horizontal="center" wrapText="1"/>
    </xf>
    <xf numFmtId="168" fontId="7" fillId="2" borderId="1" xfId="1" applyNumberFormat="1" applyFont="1" applyFill="1" applyBorder="1" applyAlignment="1" applyProtection="1">
      <alignment vertical="center" wrapText="1"/>
      <protection locked="0"/>
    </xf>
    <xf numFmtId="0" fontId="26" fillId="7" borderId="1" xfId="0" applyFont="1" applyFill="1" applyBorder="1" applyAlignment="1">
      <alignment horizontal="center"/>
    </xf>
    <xf numFmtId="0" fontId="33" fillId="7" borderId="1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16" fillId="7" borderId="1" xfId="2" applyFont="1" applyFill="1" applyBorder="1" applyAlignment="1">
      <alignment horizontal="center"/>
    </xf>
    <xf numFmtId="0" fontId="26" fillId="7" borderId="7" xfId="0" applyFont="1" applyFill="1" applyBorder="1" applyAlignment="1">
      <alignment horizontal="center"/>
    </xf>
    <xf numFmtId="0" fontId="16" fillId="7" borderId="7" xfId="2" applyFont="1" applyFill="1" applyBorder="1" applyAlignment="1">
      <alignment horizontal="center"/>
    </xf>
    <xf numFmtId="0" fontId="16" fillId="7" borderId="3" xfId="2" applyFont="1" applyFill="1" applyBorder="1" applyAlignment="1">
      <alignment horizontal="center"/>
    </xf>
    <xf numFmtId="0" fontId="0" fillId="7" borderId="16" xfId="0" applyFill="1" applyBorder="1"/>
    <xf numFmtId="0" fontId="16" fillId="7" borderId="16" xfId="2" applyFont="1" applyFill="1" applyBorder="1" applyAlignment="1">
      <alignment horizontal="center"/>
    </xf>
    <xf numFmtId="0" fontId="0" fillId="7" borderId="1" xfId="0" applyFill="1" applyBorder="1"/>
    <xf numFmtId="0" fontId="26" fillId="7" borderId="3" xfId="0" applyFont="1" applyFill="1" applyBorder="1" applyAlignment="1">
      <alignment horizontal="center" wrapText="1"/>
    </xf>
    <xf numFmtId="0" fontId="16" fillId="7" borderId="3" xfId="2" applyFont="1" applyFill="1" applyBorder="1" applyAlignment="1">
      <alignment horizontal="center" wrapText="1"/>
    </xf>
    <xf numFmtId="0" fontId="17" fillId="7" borderId="14" xfId="0" applyFont="1" applyFill="1" applyBorder="1" applyAlignment="1" applyProtection="1">
      <alignment vertical="center"/>
      <protection locked="0"/>
    </xf>
    <xf numFmtId="0" fontId="17" fillId="7" borderId="0" xfId="0" applyFont="1" applyFill="1" applyAlignment="1" applyProtection="1">
      <alignment vertical="center"/>
      <protection locked="0"/>
    </xf>
    <xf numFmtId="0" fontId="0" fillId="7" borderId="0" xfId="0" applyFill="1" applyAlignment="1" applyProtection="1">
      <alignment vertical="center"/>
      <protection locked="0"/>
    </xf>
    <xf numFmtId="0" fontId="19" fillId="7" borderId="1" xfId="0" applyFont="1" applyFill="1" applyBorder="1"/>
    <xf numFmtId="0" fontId="19" fillId="10" borderId="0" xfId="0" applyFont="1" applyFill="1" applyAlignment="1">
      <alignment horizontal="right"/>
    </xf>
    <xf numFmtId="0" fontId="0" fillId="7" borderId="3" xfId="0" applyFill="1" applyBorder="1"/>
    <xf numFmtId="165" fontId="19" fillId="8" borderId="0" xfId="0" applyNumberFormat="1" applyFont="1" applyFill="1" applyProtection="1">
      <protection locked="0"/>
    </xf>
    <xf numFmtId="0" fontId="34" fillId="10" borderId="0" xfId="0" applyFont="1" applyFill="1" applyAlignment="1">
      <alignment horizontal="right"/>
    </xf>
    <xf numFmtId="0" fontId="0" fillId="7" borderId="7" xfId="0" applyFill="1" applyBorder="1"/>
    <xf numFmtId="0" fontId="19" fillId="7" borderId="0" xfId="0" applyFont="1" applyFill="1"/>
    <xf numFmtId="0" fontId="0" fillId="0" borderId="1" xfId="0" applyBorder="1"/>
    <xf numFmtId="0" fontId="0" fillId="7" borderId="12" xfId="0" applyFill="1" applyBorder="1"/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center" wrapText="1"/>
    </xf>
    <xf numFmtId="0" fontId="16" fillId="7" borderId="1" xfId="2" applyFont="1" applyFill="1" applyBorder="1" applyAlignment="1">
      <alignment horizontal="center" wrapText="1"/>
    </xf>
    <xf numFmtId="0" fontId="31" fillId="7" borderId="1" xfId="2" applyFill="1" applyBorder="1" applyAlignment="1">
      <alignment horizontal="center" wrapText="1"/>
    </xf>
    <xf numFmtId="0" fontId="0" fillId="0" borderId="7" xfId="0" applyBorder="1" applyAlignment="1">
      <alignment vertical="center"/>
    </xf>
    <xf numFmtId="0" fontId="36" fillId="7" borderId="1" xfId="0" applyFont="1" applyFill="1" applyBorder="1" applyAlignment="1">
      <alignment horizontal="center" vertical="center"/>
    </xf>
    <xf numFmtId="0" fontId="36" fillId="7" borderId="1" xfId="2" applyFont="1" applyFill="1" applyBorder="1" applyAlignment="1">
      <alignment horizontal="center" vertical="center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14" fontId="17" fillId="6" borderId="3" xfId="0" applyNumberFormat="1" applyFont="1" applyFill="1" applyBorder="1" applyAlignment="1" applyProtection="1">
      <alignment horizontal="center" vertical="center"/>
      <protection locked="0"/>
    </xf>
    <xf numFmtId="0" fontId="27" fillId="7" borderId="6" xfId="0" applyFont="1" applyFill="1" applyBorder="1" applyAlignment="1" applyProtection="1">
      <alignment horizontal="center" vertical="center" wrapText="1"/>
      <protection locked="0"/>
    </xf>
    <xf numFmtId="0" fontId="27" fillId="7" borderId="23" xfId="0" applyFont="1" applyFill="1" applyBorder="1" applyAlignment="1" applyProtection="1">
      <alignment horizontal="center" vertical="center" wrapText="1"/>
      <protection locked="0"/>
    </xf>
    <xf numFmtId="0" fontId="10" fillId="4" borderId="12" xfId="0" applyFont="1" applyFill="1" applyBorder="1" applyAlignment="1" applyProtection="1">
      <alignment horizontal="center" vertical="center" wrapText="1"/>
      <protection locked="0"/>
    </xf>
    <xf numFmtId="0" fontId="3" fillId="7" borderId="0" xfId="0" applyFont="1" applyFill="1" applyAlignment="1" applyProtection="1">
      <alignment vertical="top"/>
      <protection locked="0"/>
    </xf>
    <xf numFmtId="0" fontId="0" fillId="7" borderId="0" xfId="0" applyFill="1" applyAlignment="1" applyProtection="1">
      <alignment wrapText="1"/>
      <protection locked="0"/>
    </xf>
    <xf numFmtId="0" fontId="3" fillId="7" borderId="0" xfId="0" applyFont="1" applyFill="1" applyProtection="1">
      <protection locked="0"/>
    </xf>
    <xf numFmtId="0" fontId="16" fillId="7" borderId="10" xfId="0" applyFont="1" applyFill="1" applyBorder="1" applyAlignment="1" applyProtection="1">
      <alignment vertical="center"/>
      <protection locked="0"/>
    </xf>
    <xf numFmtId="0" fontId="15" fillId="4" borderId="12" xfId="0" applyFont="1" applyFill="1" applyBorder="1" applyAlignment="1" applyProtection="1">
      <alignment horizontal="center" vertical="center"/>
      <protection locked="0"/>
    </xf>
    <xf numFmtId="168" fontId="7" fillId="2" borderId="12" xfId="1" applyNumberFormat="1" applyFont="1" applyFill="1" applyBorder="1" applyAlignment="1" applyProtection="1">
      <alignment vertical="center" wrapText="1"/>
      <protection locked="0"/>
    </xf>
    <xf numFmtId="0" fontId="0" fillId="7" borderId="17" xfId="0" applyFill="1" applyBorder="1" applyProtection="1">
      <protection locked="0"/>
    </xf>
    <xf numFmtId="1" fontId="6" fillId="0" borderId="3" xfId="0" applyNumberFormat="1" applyFont="1" applyBorder="1" applyAlignment="1" applyProtection="1">
      <alignment horizontal="center" vertical="center" wrapText="1"/>
      <protection locked="0"/>
    </xf>
    <xf numFmtId="166" fontId="6" fillId="0" borderId="3" xfId="0" applyNumberFormat="1" applyFont="1" applyBorder="1" applyAlignment="1" applyProtection="1">
      <alignment horizontal="center" vertical="center" wrapText="1"/>
      <protection locked="0"/>
    </xf>
    <xf numFmtId="166" fontId="6" fillId="0" borderId="1" xfId="0" applyNumberFormat="1" applyFont="1" applyBorder="1" applyAlignment="1" applyProtection="1">
      <alignment horizontal="center" vertical="center" wrapText="1"/>
      <protection locked="0"/>
    </xf>
    <xf numFmtId="1" fontId="6" fillId="6" borderId="3" xfId="0" applyNumberFormat="1" applyFont="1" applyFill="1" applyBorder="1" applyAlignment="1" applyProtection="1">
      <alignment horizontal="center" vertical="center" wrapText="1"/>
      <protection locked="0"/>
    </xf>
    <xf numFmtId="166" fontId="7" fillId="3" borderId="0" xfId="0" applyNumberFormat="1" applyFont="1" applyFill="1" applyProtection="1">
      <protection locked="0"/>
    </xf>
    <xf numFmtId="167" fontId="6" fillId="0" borderId="3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0" fontId="7" fillId="3" borderId="0" xfId="0" applyFont="1" applyFill="1"/>
    <xf numFmtId="0" fontId="18" fillId="6" borderId="8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3" fillId="7" borderId="16" xfId="0" applyFont="1" applyFill="1" applyBorder="1" applyProtection="1">
      <protection locked="0"/>
    </xf>
    <xf numFmtId="0" fontId="0" fillId="7" borderId="16" xfId="0" applyFill="1" applyBorder="1" applyAlignment="1" applyProtection="1">
      <alignment wrapText="1"/>
      <protection locked="0"/>
    </xf>
    <xf numFmtId="0" fontId="38" fillId="4" borderId="12" xfId="0" applyFont="1" applyFill="1" applyBorder="1" applyAlignment="1">
      <alignment vertical="center"/>
    </xf>
    <xf numFmtId="0" fontId="25" fillId="0" borderId="8" xfId="0" applyFont="1" applyBorder="1" applyAlignment="1" applyProtection="1">
      <alignment horizontal="center" vertical="center"/>
      <protection locked="0"/>
    </xf>
    <xf numFmtId="0" fontId="27" fillId="7" borderId="3" xfId="0" applyFont="1" applyFill="1" applyBorder="1" applyAlignment="1" applyProtection="1">
      <alignment horizontal="center" vertical="center" wrapText="1"/>
      <protection locked="0"/>
    </xf>
    <xf numFmtId="14" fontId="37" fillId="6" borderId="3" xfId="0" applyNumberFormat="1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vertical="center"/>
      <protection locked="0"/>
    </xf>
    <xf numFmtId="0" fontId="20" fillId="4" borderId="7" xfId="0" applyFont="1" applyFill="1" applyBorder="1" applyAlignment="1" applyProtection="1">
      <alignment vertical="center" wrapText="1"/>
      <protection locked="0"/>
    </xf>
    <xf numFmtId="0" fontId="20" fillId="0" borderId="0" xfId="0" applyFont="1" applyAlignment="1" applyProtection="1">
      <alignment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32" fillId="4" borderId="7" xfId="0" applyFont="1" applyFill="1" applyBorder="1" applyAlignment="1" applyProtection="1">
      <alignment vertical="center" wrapText="1"/>
      <protection locked="0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0" fontId="30" fillId="4" borderId="2" xfId="0" applyFont="1" applyFill="1" applyBorder="1" applyAlignment="1" applyProtection="1">
      <alignment horizontal="left" vertical="center"/>
      <protection locked="0"/>
    </xf>
    <xf numFmtId="0" fontId="20" fillId="4" borderId="7" xfId="0" applyFont="1" applyFill="1" applyBorder="1" applyAlignment="1" applyProtection="1">
      <alignment horizontal="center" vertical="center" wrapText="1"/>
      <protection locked="0"/>
    </xf>
    <xf numFmtId="0" fontId="30" fillId="4" borderId="1" xfId="0" applyFont="1" applyFill="1" applyBorder="1" applyAlignment="1" applyProtection="1">
      <alignment horizontal="left" vertical="center"/>
      <protection locked="0"/>
    </xf>
    <xf numFmtId="0" fontId="32" fillId="4" borderId="7" xfId="0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Alignment="1" applyProtection="1">
      <alignment horizontal="left" vertical="top" wrapText="1"/>
      <protection locked="0"/>
    </xf>
    <xf numFmtId="0" fontId="0" fillId="7" borderId="0" xfId="0" applyFill="1" applyAlignment="1" applyProtection="1">
      <alignment horizontal="left" vertical="top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19" fillId="15" borderId="0" xfId="0" applyFont="1" applyFill="1" applyAlignment="1">
      <alignment horizontal="right" vertical="center"/>
    </xf>
    <xf numFmtId="0" fontId="19" fillId="15" borderId="0" xfId="0" applyFont="1" applyFill="1" applyAlignment="1">
      <alignment horizontal="center" vertical="center" wrapText="1"/>
    </xf>
    <xf numFmtId="0" fontId="0" fillId="15" borderId="0" xfId="0" applyFill="1"/>
    <xf numFmtId="0" fontId="19" fillId="15" borderId="17" xfId="0" applyFont="1" applyFill="1" applyBorder="1" applyAlignment="1">
      <alignment horizontal="center" vertical="center" wrapText="1"/>
    </xf>
    <xf numFmtId="0" fontId="34" fillId="11" borderId="0" xfId="0" applyFont="1" applyFill="1" applyAlignment="1">
      <alignment horizontal="right" vertical="center"/>
    </xf>
    <xf numFmtId="0" fontId="32" fillId="11" borderId="17" xfId="0" applyFont="1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0" xfId="0" applyFill="1"/>
    <xf numFmtId="0" fontId="34" fillId="11" borderId="0" xfId="0" applyFont="1" applyFill="1"/>
    <xf numFmtId="0" fontId="0" fillId="11" borderId="17" xfId="0" applyFill="1" applyBorder="1"/>
    <xf numFmtId="0" fontId="0" fillId="11" borderId="18" xfId="0" applyFill="1" applyBorder="1"/>
    <xf numFmtId="165" fontId="19" fillId="11" borderId="0" xfId="1" applyNumberFormat="1" applyFont="1" applyFill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15" borderId="0" xfId="0" applyFont="1" applyFill="1" applyAlignment="1">
      <alignment horizontal="right"/>
    </xf>
    <xf numFmtId="0" fontId="32" fillId="15" borderId="0" xfId="0" applyFont="1" applyFill="1"/>
    <xf numFmtId="0" fontId="19" fillId="15" borderId="17" xfId="0" applyFont="1" applyFill="1" applyBorder="1" applyAlignment="1">
      <alignment horizontal="right" vertical="center"/>
    </xf>
    <xf numFmtId="0" fontId="32" fillId="11" borderId="17" xfId="0" applyFont="1" applyFill="1" applyBorder="1" applyAlignment="1">
      <alignment horizontal="center" vertical="center"/>
    </xf>
    <xf numFmtId="0" fontId="32" fillId="11" borderId="18" xfId="0" applyFont="1" applyFill="1" applyBorder="1" applyAlignment="1">
      <alignment horizontal="center" vertical="center"/>
    </xf>
    <xf numFmtId="0" fontId="1" fillId="13" borderId="1" xfId="0" applyFont="1" applyFill="1" applyBorder="1" applyAlignment="1" applyProtection="1">
      <alignment vertical="center"/>
      <protection locked="0"/>
    </xf>
    <xf numFmtId="0" fontId="18" fillId="6" borderId="8" xfId="0" applyFont="1" applyFill="1" applyBorder="1" applyAlignment="1" applyProtection="1">
      <alignment horizontal="center" vertical="center" wrapText="1"/>
      <protection locked="0"/>
    </xf>
    <xf numFmtId="0" fontId="38" fillId="4" borderId="12" xfId="0" applyFont="1" applyFill="1" applyBorder="1" applyAlignment="1" applyProtection="1">
      <alignment vertical="center"/>
      <protection locked="0"/>
    </xf>
    <xf numFmtId="0" fontId="18" fillId="6" borderId="13" xfId="0" applyFont="1" applyFill="1" applyBorder="1" applyAlignment="1" applyProtection="1">
      <alignment horizontal="center" vertical="center" wrapText="1"/>
      <protection locked="0"/>
    </xf>
    <xf numFmtId="167" fontId="6" fillId="0" borderId="3" xfId="0" applyNumberFormat="1" applyFont="1" applyBorder="1" applyAlignment="1" applyProtection="1">
      <alignment horizontal="center" vertical="center" wrapText="1"/>
      <protection locked="0"/>
    </xf>
    <xf numFmtId="167" fontId="6" fillId="0" borderId="1" xfId="0" applyNumberFormat="1" applyFont="1" applyBorder="1" applyAlignment="1" applyProtection="1">
      <alignment horizontal="center" vertical="center" wrapText="1"/>
      <protection locked="0"/>
    </xf>
    <xf numFmtId="0" fontId="7" fillId="3" borderId="0" xfId="0" applyFont="1" applyFill="1" applyProtection="1">
      <protection locked="0"/>
    </xf>
    <xf numFmtId="1" fontId="6" fillId="0" borderId="3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66" fontId="7" fillId="3" borderId="0" xfId="0" applyNumberFormat="1" applyFont="1" applyFill="1"/>
    <xf numFmtId="0" fontId="40" fillId="13" borderId="1" xfId="0" applyFont="1" applyFill="1" applyBorder="1" applyAlignment="1" applyProtection="1">
      <alignment vertical="center"/>
      <protection locked="0"/>
    </xf>
    <xf numFmtId="0" fontId="1" fillId="14" borderId="12" xfId="0" applyFont="1" applyFill="1" applyBorder="1" applyAlignment="1" applyProtection="1">
      <alignment vertical="center"/>
      <protection locked="0"/>
    </xf>
    <xf numFmtId="0" fontId="40" fillId="11" borderId="12" xfId="0" applyFont="1" applyFill="1" applyBorder="1" applyAlignment="1" applyProtection="1">
      <alignment vertical="center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41" fillId="12" borderId="12" xfId="0" applyFont="1" applyFill="1" applyBorder="1" applyAlignment="1" applyProtection="1">
      <alignment vertical="center"/>
      <protection locked="0"/>
    </xf>
    <xf numFmtId="0" fontId="1" fillId="12" borderId="2" xfId="0" applyFont="1" applyFill="1" applyBorder="1" applyAlignment="1" applyProtection="1">
      <alignment horizontal="left" vertical="center"/>
      <protection locked="0"/>
    </xf>
    <xf numFmtId="0" fontId="25" fillId="0" borderId="3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44" fillId="0" borderId="1" xfId="0" applyFont="1" applyBorder="1" applyAlignment="1" applyProtection="1">
      <alignment horizontal="left" vertical="center" wrapText="1"/>
      <protection locked="0"/>
    </xf>
    <xf numFmtId="0" fontId="44" fillId="0" borderId="12" xfId="0" applyFont="1" applyBorder="1" applyAlignment="1" applyProtection="1">
      <alignment horizontal="left" vertical="center" wrapText="1"/>
      <protection locked="0"/>
    </xf>
    <xf numFmtId="0" fontId="44" fillId="0" borderId="2" xfId="0" applyFont="1" applyBorder="1" applyAlignment="1" applyProtection="1">
      <alignment horizontal="left" vertical="center" wrapText="1"/>
      <protection locked="0"/>
    </xf>
    <xf numFmtId="0" fontId="44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vertical="center" wrapText="1"/>
      <protection locked="0"/>
    </xf>
    <xf numFmtId="0" fontId="44" fillId="0" borderId="3" xfId="0" applyFont="1" applyBorder="1" applyAlignment="1" applyProtection="1">
      <alignment horizontal="left" vertical="center" wrapText="1"/>
      <protection locked="0"/>
    </xf>
    <xf numFmtId="0" fontId="44" fillId="0" borderId="1" xfId="0" applyFont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5" fillId="4" borderId="12" xfId="0" applyFont="1" applyFill="1" applyBorder="1" applyAlignment="1" applyProtection="1">
      <alignment horizontal="center" vertical="center" wrapText="1"/>
      <protection locked="0"/>
    </xf>
    <xf numFmtId="0" fontId="44" fillId="3" borderId="12" xfId="0" applyFont="1" applyFill="1" applyBorder="1" applyAlignment="1" applyProtection="1">
      <alignment horizontal="left" vertical="center" wrapText="1"/>
      <protection locked="0"/>
    </xf>
    <xf numFmtId="0" fontId="44" fillId="3" borderId="2" xfId="0" applyFont="1" applyFill="1" applyBorder="1" applyAlignment="1" applyProtection="1">
      <alignment horizontal="left" vertical="center" wrapText="1"/>
      <protection locked="0"/>
    </xf>
    <xf numFmtId="0" fontId="46" fillId="0" borderId="1" xfId="0" applyFont="1" applyBorder="1" applyAlignment="1" applyProtection="1">
      <alignment horizontal="left" vertical="center" wrapText="1"/>
      <protection locked="0"/>
    </xf>
    <xf numFmtId="165" fontId="19" fillId="16" borderId="0" xfId="0" applyNumberFormat="1" applyFont="1" applyFill="1"/>
    <xf numFmtId="165" fontId="19" fillId="8" borderId="0" xfId="0" applyNumberFormat="1" applyFont="1" applyFill="1"/>
    <xf numFmtId="0" fontId="0" fillId="0" borderId="7" xfId="0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165" fontId="19" fillId="10" borderId="16" xfId="1" applyNumberFormat="1" applyFont="1" applyFill="1" applyBorder="1" applyAlignment="1">
      <alignment wrapText="1"/>
    </xf>
    <xf numFmtId="0" fontId="19" fillId="15" borderId="17" xfId="0" applyFont="1" applyFill="1" applyBorder="1" applyAlignment="1">
      <alignment horizontal="center" vertical="center" wrapText="1"/>
    </xf>
    <xf numFmtId="0" fontId="35" fillId="7" borderId="0" xfId="0" applyFont="1" applyFill="1" applyAlignment="1">
      <alignment horizontal="center" wrapText="1"/>
    </xf>
    <xf numFmtId="165" fontId="34" fillId="10" borderId="17" xfId="0" applyNumberFormat="1" applyFont="1" applyFill="1" applyBorder="1" applyAlignment="1">
      <alignment wrapText="1"/>
    </xf>
    <xf numFmtId="0" fontId="1" fillId="4" borderId="24" xfId="0" applyFont="1" applyFill="1" applyBorder="1" applyAlignment="1" applyProtection="1">
      <alignment horizontal="center" wrapText="1"/>
      <protection locked="0"/>
    </xf>
    <xf numFmtId="0" fontId="1" fillId="4" borderId="0" xfId="0" applyFont="1" applyFill="1" applyAlignment="1" applyProtection="1">
      <alignment horizontal="center" wrapText="1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10" fillId="4" borderId="19" xfId="0" applyFont="1" applyFill="1" applyBorder="1" applyAlignment="1" applyProtection="1">
      <alignment horizontal="center" vertical="center" wrapText="1"/>
      <protection locked="0"/>
    </xf>
    <xf numFmtId="0" fontId="10" fillId="4" borderId="15" xfId="0" applyFont="1" applyFill="1" applyBorder="1" applyAlignment="1" applyProtection="1">
      <alignment horizontal="center" vertical="center" wrapText="1"/>
      <protection locked="0"/>
    </xf>
    <xf numFmtId="0" fontId="10" fillId="4" borderId="7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39" fillId="4" borderId="7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  <protection locked="0"/>
    </xf>
    <xf numFmtId="0" fontId="15" fillId="4" borderId="3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38" fillId="4" borderId="12" xfId="0" applyFont="1" applyFill="1" applyBorder="1" applyAlignment="1">
      <alignment horizontal="left" vertical="center" wrapText="1"/>
    </xf>
    <xf numFmtId="0" fontId="38" fillId="4" borderId="2" xfId="0" applyFont="1" applyFill="1" applyBorder="1" applyAlignment="1">
      <alignment horizontal="left" vertical="center" wrapText="1"/>
    </xf>
    <xf numFmtId="0" fontId="29" fillId="6" borderId="19" xfId="0" applyFont="1" applyFill="1" applyBorder="1" applyAlignment="1" applyProtection="1">
      <alignment horizontal="left" vertical="top" wrapText="1"/>
      <protection locked="0"/>
    </xf>
    <xf numFmtId="0" fontId="29" fillId="6" borderId="15" xfId="0" applyFont="1" applyFill="1" applyBorder="1" applyAlignment="1" applyProtection="1">
      <alignment horizontal="left" vertical="top" wrapText="1"/>
      <protection locked="0"/>
    </xf>
    <xf numFmtId="0" fontId="29" fillId="6" borderId="8" xfId="0" applyFont="1" applyFill="1" applyBorder="1" applyAlignment="1" applyProtection="1">
      <alignment horizontal="left" vertical="top" wrapText="1"/>
      <protection locked="0"/>
    </xf>
    <xf numFmtId="0" fontId="29" fillId="6" borderId="9" xfId="0" applyFont="1" applyFill="1" applyBorder="1" applyAlignment="1" applyProtection="1">
      <alignment horizontal="left" vertical="top" wrapText="1"/>
      <protection locked="0"/>
    </xf>
    <xf numFmtId="0" fontId="3" fillId="6" borderId="16" xfId="0" applyFont="1" applyFill="1" applyBorder="1" applyAlignment="1" applyProtection="1">
      <alignment horizontal="left" vertical="top" wrapText="1"/>
      <protection locked="0"/>
    </xf>
    <xf numFmtId="0" fontId="3" fillId="6" borderId="15" xfId="0" applyFont="1" applyFill="1" applyBorder="1" applyAlignment="1" applyProtection="1">
      <alignment horizontal="left" vertical="top" wrapText="1"/>
      <protection locked="0"/>
    </xf>
    <xf numFmtId="0" fontId="3" fillId="6" borderId="17" xfId="0" applyFont="1" applyFill="1" applyBorder="1" applyAlignment="1" applyProtection="1">
      <alignment horizontal="left" vertical="top" wrapText="1"/>
      <protection locked="0"/>
    </xf>
    <xf numFmtId="0" fontId="3" fillId="6" borderId="9" xfId="0" applyFont="1" applyFill="1" applyBorder="1" applyAlignment="1" applyProtection="1">
      <alignment horizontal="left" vertical="top" wrapText="1"/>
      <protection locked="0"/>
    </xf>
    <xf numFmtId="0" fontId="10" fillId="4" borderId="12" xfId="0" applyFont="1" applyFill="1" applyBorder="1" applyAlignment="1" applyProtection="1">
      <alignment horizontal="center" vertical="center" wrapText="1"/>
      <protection locked="0"/>
    </xf>
    <xf numFmtId="0" fontId="10" fillId="4" borderId="18" xfId="0" applyFont="1" applyFill="1" applyBorder="1" applyAlignment="1" applyProtection="1">
      <alignment horizontal="center" vertical="center" wrapText="1"/>
      <protection locked="0"/>
    </xf>
    <xf numFmtId="0" fontId="19" fillId="4" borderId="19" xfId="0" applyFont="1" applyFill="1" applyBorder="1" applyAlignment="1" applyProtection="1">
      <alignment horizontal="center" vertical="center" wrapText="1"/>
      <protection locked="0"/>
    </xf>
    <xf numFmtId="0" fontId="19" fillId="4" borderId="15" xfId="0" applyFont="1" applyFill="1" applyBorder="1" applyAlignment="1" applyProtection="1">
      <alignment horizontal="center" vertical="center" wrapText="1"/>
      <protection locked="0"/>
    </xf>
    <xf numFmtId="0" fontId="19" fillId="4" borderId="8" xfId="0" applyFont="1" applyFill="1" applyBorder="1" applyAlignment="1" applyProtection="1">
      <alignment horizontal="center" vertical="center" wrapText="1"/>
      <protection locked="0"/>
    </xf>
    <xf numFmtId="0" fontId="19" fillId="4" borderId="9" xfId="0" applyFont="1" applyFill="1" applyBorder="1" applyAlignment="1" applyProtection="1">
      <alignment horizontal="center" vertical="center" wrapText="1"/>
      <protection locked="0"/>
    </xf>
    <xf numFmtId="0" fontId="28" fillId="6" borderId="12" xfId="0" applyFont="1" applyFill="1" applyBorder="1" applyAlignment="1" applyProtection="1">
      <alignment horizontal="left" vertical="center" wrapText="1"/>
      <protection locked="0"/>
    </xf>
    <xf numFmtId="0" fontId="28" fillId="6" borderId="18" xfId="0" applyFont="1" applyFill="1" applyBorder="1" applyAlignment="1" applyProtection="1">
      <alignment horizontal="left" vertical="center" wrapText="1"/>
      <protection locked="0"/>
    </xf>
    <xf numFmtId="0" fontId="28" fillId="6" borderId="2" xfId="0" applyFont="1" applyFill="1" applyBorder="1" applyAlignment="1" applyProtection="1">
      <alignment horizontal="left" vertical="center" wrapText="1"/>
      <protection locked="0"/>
    </xf>
    <xf numFmtId="0" fontId="21" fillId="4" borderId="7" xfId="0" applyFont="1" applyFill="1" applyBorder="1" applyAlignment="1" applyProtection="1">
      <alignment horizontal="center" vertical="center" wrapText="1"/>
      <protection locked="0"/>
    </xf>
    <xf numFmtId="0" fontId="21" fillId="4" borderId="3" xfId="0" applyFont="1" applyFill="1" applyBorder="1" applyAlignment="1" applyProtection="1">
      <alignment horizontal="center" vertical="center" wrapText="1"/>
      <protection locked="0"/>
    </xf>
    <xf numFmtId="0" fontId="21" fillId="4" borderId="12" xfId="0" applyFont="1" applyFill="1" applyBorder="1" applyAlignment="1" applyProtection="1">
      <alignment horizontal="center" vertical="center" wrapText="1"/>
      <protection locked="0"/>
    </xf>
    <xf numFmtId="0" fontId="21" fillId="4" borderId="19" xfId="0" applyFont="1" applyFill="1" applyBorder="1" applyAlignment="1" applyProtection="1">
      <alignment horizontal="center" vertical="center" wrapText="1"/>
      <protection locked="0"/>
    </xf>
    <xf numFmtId="0" fontId="21" fillId="4" borderId="8" xfId="0" applyFont="1" applyFill="1" applyBorder="1" applyAlignment="1" applyProtection="1">
      <alignment horizontal="center" vertical="center" wrapText="1"/>
      <protection locked="0"/>
    </xf>
    <xf numFmtId="0" fontId="28" fillId="6" borderId="12" xfId="0" applyFont="1" applyFill="1" applyBorder="1" applyAlignment="1" applyProtection="1">
      <alignment horizontal="left" vertical="top" wrapText="1"/>
      <protection locked="0"/>
    </xf>
    <xf numFmtId="0" fontId="28" fillId="6" borderId="2" xfId="0" applyFont="1" applyFill="1" applyBorder="1" applyAlignment="1" applyProtection="1">
      <alignment horizontal="left" vertical="top" wrapText="1"/>
      <protection locked="0"/>
    </xf>
    <xf numFmtId="0" fontId="17" fillId="6" borderId="12" xfId="0" applyFont="1" applyFill="1" applyBorder="1" applyAlignment="1" applyProtection="1">
      <alignment horizontal="left" vertical="top" wrapText="1"/>
      <protection locked="0"/>
    </xf>
    <xf numFmtId="0" fontId="17" fillId="6" borderId="2" xfId="0" applyFont="1" applyFill="1" applyBorder="1" applyAlignment="1" applyProtection="1">
      <alignment horizontal="left" vertical="top" wrapText="1"/>
      <protection locked="0"/>
    </xf>
    <xf numFmtId="0" fontId="19" fillId="5" borderId="0" xfId="0" applyFont="1" applyFill="1" applyAlignment="1" applyProtection="1">
      <alignment horizontal="center" vertical="center" wrapText="1"/>
      <protection locked="0"/>
    </xf>
    <xf numFmtId="0" fontId="19" fillId="5" borderId="21" xfId="0" applyFont="1" applyFill="1" applyBorder="1" applyAlignment="1" applyProtection="1">
      <alignment horizontal="center" vertical="center" wrapText="1"/>
      <protection locked="0"/>
    </xf>
    <xf numFmtId="0" fontId="19" fillId="5" borderId="22" xfId="0" applyFont="1" applyFill="1" applyBorder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left" vertical="top" wrapText="1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40" fillId="12" borderId="24" xfId="0" applyFont="1" applyFill="1" applyBorder="1" applyAlignment="1" applyProtection="1">
      <alignment horizontal="center" vertical="center" wrapText="1"/>
      <protection locked="0"/>
    </xf>
    <xf numFmtId="0" fontId="40" fillId="12" borderId="0" xfId="0" applyFont="1" applyFill="1" applyAlignment="1" applyProtection="1">
      <alignment horizontal="center" vertical="center" wrapText="1"/>
      <protection locked="0"/>
    </xf>
    <xf numFmtId="0" fontId="41" fillId="12" borderId="12" xfId="0" applyFont="1" applyFill="1" applyBorder="1" applyAlignment="1">
      <alignment horizontal="left" vertical="center" wrapText="1"/>
    </xf>
    <xf numFmtId="0" fontId="41" fillId="12" borderId="2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 applyProtection="1">
      <alignment horizontal="center" vertical="center" wrapText="1"/>
      <protection locked="0"/>
    </xf>
    <xf numFmtId="0" fontId="3" fillId="6" borderId="24" xfId="0" applyFont="1" applyFill="1" applyBorder="1" applyAlignment="1" applyProtection="1">
      <alignment horizontal="left" vertical="top" wrapText="1"/>
      <protection locked="0"/>
    </xf>
    <xf numFmtId="0" fontId="3" fillId="6" borderId="8" xfId="0" applyFont="1" applyFill="1" applyBorder="1" applyAlignment="1" applyProtection="1">
      <alignment horizontal="left" vertical="top" wrapText="1"/>
      <protection locked="0"/>
    </xf>
    <xf numFmtId="0" fontId="3" fillId="6" borderId="19" xfId="0" applyFont="1" applyFill="1" applyBorder="1" applyAlignment="1" applyProtection="1">
      <alignment horizontal="left" vertical="top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1" fillId="13" borderId="24" xfId="0" applyFont="1" applyFill="1" applyBorder="1" applyAlignment="1" applyProtection="1">
      <alignment horizontal="center" vertical="center"/>
      <protection locked="0"/>
    </xf>
    <xf numFmtId="0" fontId="1" fillId="13" borderId="0" xfId="0" applyFont="1" applyFill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34" fillId="4" borderId="19" xfId="0" applyFont="1" applyFill="1" applyBorder="1" applyAlignment="1" applyProtection="1">
      <alignment horizontal="center" vertical="center" wrapText="1"/>
      <protection locked="0"/>
    </xf>
    <xf numFmtId="0" fontId="34" fillId="4" borderId="15" xfId="0" applyFont="1" applyFill="1" applyBorder="1" applyAlignment="1" applyProtection="1">
      <alignment horizontal="center" vertical="center" wrapText="1"/>
      <protection locked="0"/>
    </xf>
    <xf numFmtId="0" fontId="34" fillId="4" borderId="8" xfId="0" applyFont="1" applyFill="1" applyBorder="1" applyAlignment="1" applyProtection="1">
      <alignment horizontal="center" vertical="center" wrapText="1"/>
      <protection locked="0"/>
    </xf>
    <xf numFmtId="0" fontId="34" fillId="4" borderId="9" xfId="0" applyFont="1" applyFill="1" applyBorder="1" applyAlignment="1" applyProtection="1">
      <alignment horizontal="center" vertical="center" wrapText="1"/>
      <protection locked="0"/>
    </xf>
    <xf numFmtId="0" fontId="17" fillId="6" borderId="19" xfId="0" applyFont="1" applyFill="1" applyBorder="1" applyAlignment="1" applyProtection="1">
      <alignment horizontal="left" vertical="top" wrapText="1"/>
      <protection locked="0"/>
    </xf>
    <xf numFmtId="0" fontId="17" fillId="6" borderId="16" xfId="0" applyFont="1" applyFill="1" applyBorder="1" applyAlignment="1" applyProtection="1">
      <alignment horizontal="left" vertical="top" wrapText="1"/>
      <protection locked="0"/>
    </xf>
    <xf numFmtId="0" fontId="40" fillId="13" borderId="12" xfId="0" applyFont="1" applyFill="1" applyBorder="1" applyAlignment="1">
      <alignment horizontal="left" vertical="center" wrapText="1"/>
    </xf>
    <xf numFmtId="0" fontId="40" fillId="13" borderId="2" xfId="0" applyFont="1" applyFill="1" applyBorder="1" applyAlignment="1">
      <alignment horizontal="left" vertical="center" wrapText="1"/>
    </xf>
    <xf numFmtId="0" fontId="27" fillId="7" borderId="7" xfId="0" applyFont="1" applyFill="1" applyBorder="1" applyAlignment="1" applyProtection="1">
      <alignment horizontal="center" vertical="center" wrapText="1"/>
      <protection locked="0"/>
    </xf>
    <xf numFmtId="0" fontId="27" fillId="7" borderId="6" xfId="0" applyFont="1" applyFill="1" applyBorder="1" applyAlignment="1" applyProtection="1">
      <alignment horizontal="center" vertical="center" wrapText="1"/>
      <protection locked="0"/>
    </xf>
    <xf numFmtId="0" fontId="27" fillId="7" borderId="23" xfId="0" applyFont="1" applyFill="1" applyBorder="1" applyAlignment="1" applyProtection="1">
      <alignment horizontal="center" vertical="center" wrapText="1"/>
      <protection locked="0"/>
    </xf>
    <xf numFmtId="0" fontId="27" fillId="7" borderId="3" xfId="0" applyFont="1" applyFill="1" applyBorder="1" applyAlignment="1" applyProtection="1">
      <alignment horizontal="center" vertical="center" wrapText="1"/>
      <protection locked="0"/>
    </xf>
    <xf numFmtId="0" fontId="44" fillId="0" borderId="12" xfId="0" applyFont="1" applyBorder="1" applyAlignment="1" applyProtection="1">
      <alignment horizontal="center" vertical="center" wrapText="1"/>
      <protection locked="0"/>
    </xf>
    <xf numFmtId="0" fontId="44" fillId="0" borderId="2" xfId="0" applyFont="1" applyBorder="1" applyAlignment="1" applyProtection="1">
      <alignment horizontal="center" vertical="center" wrapText="1"/>
      <protection locked="0"/>
    </xf>
    <xf numFmtId="0" fontId="44" fillId="0" borderId="12" xfId="0" applyFont="1" applyBorder="1" applyAlignment="1" applyProtection="1">
      <alignment horizontal="left" vertical="center" wrapText="1"/>
      <protection locked="0"/>
    </xf>
    <xf numFmtId="0" fontId="44" fillId="0" borderId="2" xfId="0" applyFont="1" applyBorder="1" applyAlignment="1" applyProtection="1">
      <alignment horizontal="left" vertical="center" wrapText="1"/>
      <protection locked="0"/>
    </xf>
    <xf numFmtId="0" fontId="1" fillId="11" borderId="24" xfId="0" applyFont="1" applyFill="1" applyBorder="1" applyAlignment="1" applyProtection="1">
      <alignment horizontal="center" vertical="center" wrapText="1"/>
      <protection locked="0"/>
    </xf>
    <xf numFmtId="0" fontId="1" fillId="11" borderId="0" xfId="0" applyFont="1" applyFill="1" applyAlignment="1" applyProtection="1">
      <alignment horizontal="center" vertical="center" wrapText="1"/>
      <protection locked="0"/>
    </xf>
    <xf numFmtId="0" fontId="46" fillId="0" borderId="12" xfId="0" applyFont="1" applyBorder="1" applyAlignment="1" applyProtection="1">
      <alignment horizontal="left" vertical="center" wrapText="1"/>
      <protection locked="0"/>
    </xf>
    <xf numFmtId="0" fontId="46" fillId="0" borderId="18" xfId="0" applyFont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43" fillId="6" borderId="24" xfId="0" applyFont="1" applyFill="1" applyBorder="1" applyAlignment="1" applyProtection="1">
      <alignment horizontal="left" vertical="top" wrapText="1"/>
      <protection locked="0"/>
    </xf>
    <xf numFmtId="0" fontId="43" fillId="6" borderId="0" xfId="0" applyFont="1" applyFill="1" applyAlignment="1" applyProtection="1">
      <alignment horizontal="left" vertical="top" wrapText="1"/>
      <protection locked="0"/>
    </xf>
    <xf numFmtId="0" fontId="43" fillId="6" borderId="8" xfId="0" applyFont="1" applyFill="1" applyBorder="1" applyAlignment="1" applyProtection="1">
      <alignment horizontal="left" vertical="top" wrapText="1"/>
      <protection locked="0"/>
    </xf>
    <xf numFmtId="0" fontId="43" fillId="6" borderId="17" xfId="0" applyFont="1" applyFill="1" applyBorder="1" applyAlignment="1" applyProtection="1">
      <alignment horizontal="left" vertical="top" wrapText="1"/>
      <protection locked="0"/>
    </xf>
    <xf numFmtId="0" fontId="43" fillId="6" borderId="19" xfId="0" applyFont="1" applyFill="1" applyBorder="1" applyAlignment="1" applyProtection="1">
      <alignment horizontal="left" vertical="top" wrapText="1"/>
      <protection locked="0"/>
    </xf>
    <xf numFmtId="0" fontId="43" fillId="6" borderId="15" xfId="0" applyFont="1" applyFill="1" applyBorder="1" applyAlignment="1" applyProtection="1">
      <alignment horizontal="left" vertical="top" wrapText="1"/>
      <protection locked="0"/>
    </xf>
    <xf numFmtId="0" fontId="43" fillId="6" borderId="9" xfId="0" applyFont="1" applyFill="1" applyBorder="1" applyAlignment="1" applyProtection="1">
      <alignment horizontal="left" vertical="top" wrapText="1"/>
      <protection locked="0"/>
    </xf>
    <xf numFmtId="0" fontId="40" fillId="11" borderId="12" xfId="0" applyFont="1" applyFill="1" applyBorder="1" applyAlignment="1">
      <alignment horizontal="left" vertical="center" wrapText="1"/>
    </xf>
    <xf numFmtId="0" fontId="40" fillId="11" borderId="2" xfId="0" applyFont="1" applyFill="1" applyBorder="1" applyAlignment="1">
      <alignment horizontal="left" vertical="center" wrapText="1"/>
    </xf>
    <xf numFmtId="0" fontId="42" fillId="6" borderId="19" xfId="0" applyFont="1" applyFill="1" applyBorder="1" applyAlignment="1" applyProtection="1">
      <alignment horizontal="left" vertical="top" wrapText="1"/>
      <protection locked="0"/>
    </xf>
    <xf numFmtId="0" fontId="42" fillId="6" borderId="15" xfId="0" applyFont="1" applyFill="1" applyBorder="1" applyAlignment="1" applyProtection="1">
      <alignment horizontal="left" vertical="top" wrapText="1"/>
      <protection locked="0"/>
    </xf>
    <xf numFmtId="0" fontId="42" fillId="6" borderId="8" xfId="0" applyFont="1" applyFill="1" applyBorder="1" applyAlignment="1" applyProtection="1">
      <alignment horizontal="left" vertical="top" wrapText="1"/>
      <protection locked="0"/>
    </xf>
    <xf numFmtId="0" fontId="42" fillId="6" borderId="9" xfId="0" applyFont="1" applyFill="1" applyBorder="1" applyAlignment="1" applyProtection="1">
      <alignment horizontal="left" vertical="top" wrapText="1"/>
      <protection locked="0"/>
    </xf>
    <xf numFmtId="0" fontId="43" fillId="6" borderId="16" xfId="0" applyFont="1" applyFill="1" applyBorder="1" applyAlignment="1" applyProtection="1">
      <alignment horizontal="left" vertical="top" wrapText="1"/>
      <protection locked="0"/>
    </xf>
    <xf numFmtId="0" fontId="14" fillId="7" borderId="15" xfId="0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4" fillId="7" borderId="9" xfId="0" applyFont="1" applyFill="1" applyBorder="1" applyAlignment="1" applyProtection="1">
      <alignment horizontal="center" vertical="center" wrapText="1"/>
      <protection locked="0"/>
    </xf>
    <xf numFmtId="0" fontId="1" fillId="14" borderId="24" xfId="0" applyFont="1" applyFill="1" applyBorder="1" applyAlignment="1" applyProtection="1">
      <alignment horizontal="center" vertical="center" wrapText="1"/>
      <protection locked="0"/>
    </xf>
    <xf numFmtId="0" fontId="1" fillId="14" borderId="0" xfId="0" applyFont="1" applyFill="1" applyAlignment="1" applyProtection="1">
      <alignment horizontal="center" vertical="center" wrapText="1"/>
      <protection locked="0"/>
    </xf>
    <xf numFmtId="0" fontId="17" fillId="6" borderId="18" xfId="0" applyFont="1" applyFill="1" applyBorder="1" applyAlignment="1" applyProtection="1">
      <alignment horizontal="left" vertical="top" wrapText="1"/>
      <protection locked="0"/>
    </xf>
    <xf numFmtId="0" fontId="1" fillId="14" borderId="12" xfId="0" applyFont="1" applyFill="1" applyBorder="1" applyAlignment="1">
      <alignment horizontal="left" vertical="center" wrapText="1"/>
    </xf>
    <xf numFmtId="0" fontId="1" fillId="14" borderId="2" xfId="0" applyFont="1" applyFill="1" applyBorder="1" applyAlignment="1">
      <alignment horizontal="left" vertical="center" wrapText="1"/>
    </xf>
    <xf numFmtId="0" fontId="6" fillId="0" borderId="12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39" fillId="4" borderId="7" xfId="0" applyFont="1" applyFill="1" applyBorder="1" applyAlignment="1" applyProtection="1">
      <alignment horizontal="center" vertical="center" wrapText="1"/>
      <protection locked="0"/>
    </xf>
    <xf numFmtId="0" fontId="39" fillId="4" borderId="3" xfId="0" applyFont="1" applyFill="1" applyBorder="1" applyAlignment="1" applyProtection="1">
      <alignment horizontal="center" vertical="center" wrapText="1"/>
      <protection locked="0"/>
    </xf>
    <xf numFmtId="0" fontId="1" fillId="4" borderId="24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28" fillId="6" borderId="12" xfId="0" applyFont="1" applyFill="1" applyBorder="1" applyAlignment="1">
      <alignment horizontal="left" vertical="top" wrapText="1"/>
    </xf>
    <xf numFmtId="0" fontId="28" fillId="6" borderId="2" xfId="0" applyFont="1" applyFill="1" applyBorder="1" applyAlignment="1">
      <alignment horizontal="left" vertical="top" wrapText="1"/>
    </xf>
    <xf numFmtId="0" fontId="28" fillId="6" borderId="12" xfId="0" applyFont="1" applyFill="1" applyBorder="1" applyAlignment="1">
      <alignment horizontal="left" vertical="center" wrapText="1"/>
    </xf>
    <xf numFmtId="0" fontId="28" fillId="6" borderId="18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left" vertical="center" wrapText="1"/>
    </xf>
    <xf numFmtId="0" fontId="17" fillId="6" borderId="12" xfId="0" applyFont="1" applyFill="1" applyBorder="1" applyAlignment="1">
      <alignment horizontal="left" vertical="top" wrapText="1"/>
    </xf>
    <xf numFmtId="0" fontId="17" fillId="6" borderId="2" xfId="0" applyFont="1" applyFill="1" applyBorder="1" applyAlignment="1">
      <alignment horizontal="left" vertical="top" wrapText="1"/>
    </xf>
  </cellXfs>
  <cellStyles count="3">
    <cellStyle name="Bueno" xfId="2" builtinId="26"/>
    <cellStyle name="Moneda" xfId="1" builtinId="4"/>
    <cellStyle name="Normal" xfId="0" builtinId="0"/>
  </cellStyles>
  <dxfs count="206"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67E89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345125</xdr:colOff>
      <xdr:row>1</xdr:row>
      <xdr:rowOff>37811</xdr:rowOff>
    </xdr:from>
    <xdr:to>
      <xdr:col>7</xdr:col>
      <xdr:colOff>1692088</xdr:colOff>
      <xdr:row>7</xdr:row>
      <xdr:rowOff>163186</xdr:rowOff>
    </xdr:to>
    <xdr:pic>
      <xdr:nvPicPr>
        <xdr:cNvPr id="2" name="1 Imagen" descr="Logo con letrassmoll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55"/>
        <a:stretch>
          <a:fillRect/>
        </a:stretch>
      </xdr:blipFill>
      <xdr:spPr>
        <a:xfrm>
          <a:off x="10049419" y="295546"/>
          <a:ext cx="4338934" cy="1436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54790</xdr:colOff>
      <xdr:row>1</xdr:row>
      <xdr:rowOff>6337</xdr:rowOff>
    </xdr:from>
    <xdr:to>
      <xdr:col>9</xdr:col>
      <xdr:colOff>156883</xdr:colOff>
      <xdr:row>7</xdr:row>
      <xdr:rowOff>149677</xdr:rowOff>
    </xdr:to>
    <xdr:pic>
      <xdr:nvPicPr>
        <xdr:cNvPr id="2" name="1 Imagen" descr="Logo con letrassmoll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7"/>
        <a:stretch>
          <a:fillRect/>
        </a:stretch>
      </xdr:blipFill>
      <xdr:spPr>
        <a:xfrm>
          <a:off x="12201966" y="264072"/>
          <a:ext cx="5727446" cy="14992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162846</xdr:colOff>
      <xdr:row>0</xdr:row>
      <xdr:rowOff>256716</xdr:rowOff>
    </xdr:from>
    <xdr:to>
      <xdr:col>9</xdr:col>
      <xdr:colOff>89648</xdr:colOff>
      <xdr:row>7</xdr:row>
      <xdr:rowOff>154480</xdr:rowOff>
    </xdr:to>
    <xdr:pic>
      <xdr:nvPicPr>
        <xdr:cNvPr id="2" name="1 Imagen" descr="Logo con letrassmoll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7"/>
        <a:stretch>
          <a:fillRect/>
        </a:stretch>
      </xdr:blipFill>
      <xdr:spPr>
        <a:xfrm>
          <a:off x="9967993" y="256716"/>
          <a:ext cx="5697831" cy="15002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847154</xdr:colOff>
      <xdr:row>1</xdr:row>
      <xdr:rowOff>212912</xdr:rowOff>
    </xdr:from>
    <xdr:to>
      <xdr:col>9</xdr:col>
      <xdr:colOff>574525</xdr:colOff>
      <xdr:row>7</xdr:row>
      <xdr:rowOff>134470</xdr:rowOff>
    </xdr:to>
    <xdr:pic>
      <xdr:nvPicPr>
        <xdr:cNvPr id="2" name="1 Imagen" descr="Logo con letrassmoll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7"/>
        <a:stretch>
          <a:fillRect/>
        </a:stretch>
      </xdr:blipFill>
      <xdr:spPr>
        <a:xfrm>
          <a:off x="13263272" y="481853"/>
          <a:ext cx="6607782" cy="14903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43584</xdr:colOff>
      <xdr:row>1</xdr:row>
      <xdr:rowOff>14071</xdr:rowOff>
    </xdr:from>
    <xdr:to>
      <xdr:col>8</xdr:col>
      <xdr:colOff>600206</xdr:colOff>
      <xdr:row>7</xdr:row>
      <xdr:rowOff>56459</xdr:rowOff>
    </xdr:to>
    <xdr:pic>
      <xdr:nvPicPr>
        <xdr:cNvPr id="2" name="1 Imagen" descr="Logo con letrassmoll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7"/>
        <a:stretch>
          <a:fillRect/>
        </a:stretch>
      </xdr:blipFill>
      <xdr:spPr>
        <a:xfrm>
          <a:off x="9568584" y="353318"/>
          <a:ext cx="5019019" cy="14124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78221</xdr:colOff>
      <xdr:row>1</xdr:row>
      <xdr:rowOff>31389</xdr:rowOff>
    </xdr:from>
    <xdr:to>
      <xdr:col>8</xdr:col>
      <xdr:colOff>355497</xdr:colOff>
      <xdr:row>7</xdr:row>
      <xdr:rowOff>103910</xdr:rowOff>
    </xdr:to>
    <xdr:pic>
      <xdr:nvPicPr>
        <xdr:cNvPr id="3" name="2 Imagen" descr="Logo con letrassmoll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7"/>
        <a:stretch>
          <a:fillRect/>
        </a:stretch>
      </xdr:blipFill>
      <xdr:spPr>
        <a:xfrm>
          <a:off x="11144539" y="360434"/>
          <a:ext cx="5247594" cy="1544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37" zoomScale="85" zoomScaleNormal="85" workbookViewId="0">
      <selection activeCell="G39" sqref="G39"/>
    </sheetView>
  </sheetViews>
  <sheetFormatPr baseColWidth="10" defaultRowHeight="15" x14ac:dyDescent="0.25"/>
  <cols>
    <col min="1" max="1" width="29.28515625" customWidth="1"/>
    <col min="2" max="2" width="3.7109375" customWidth="1"/>
    <col min="3" max="3" width="18.85546875" customWidth="1"/>
    <col min="4" max="4" width="1" customWidth="1"/>
    <col min="5" max="5" width="1.140625" customWidth="1"/>
    <col min="6" max="6" width="86.140625" customWidth="1"/>
    <col min="7" max="7" width="10.140625" customWidth="1"/>
    <col min="8" max="8" width="10.28515625" customWidth="1"/>
    <col min="9" max="11" width="9.85546875" customWidth="1"/>
  </cols>
  <sheetData>
    <row r="1" spans="1:12" ht="23.25" customHeight="1" x14ac:dyDescent="0.4">
      <c r="A1" s="198" t="s">
        <v>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42"/>
    </row>
    <row r="2" spans="1:12" ht="10.5" customHeight="1" x14ac:dyDescent="0.25">
      <c r="A2" s="42"/>
      <c r="B2" s="42"/>
      <c r="C2" s="42"/>
      <c r="D2" s="42"/>
      <c r="E2" s="42"/>
      <c r="F2" s="45"/>
      <c r="G2" s="43"/>
      <c r="H2" s="43"/>
      <c r="I2" s="42"/>
      <c r="J2" s="44"/>
      <c r="K2" s="42"/>
      <c r="L2" s="42"/>
    </row>
    <row r="3" spans="1:12" ht="15.75" x14ac:dyDescent="0.25">
      <c r="A3" s="140" t="s">
        <v>81</v>
      </c>
      <c r="B3" s="197" t="s">
        <v>29</v>
      </c>
      <c r="C3" s="197"/>
      <c r="D3" s="141"/>
      <c r="E3" s="42"/>
      <c r="F3" s="74" t="s">
        <v>47</v>
      </c>
      <c r="G3" s="89">
        <v>2025</v>
      </c>
      <c r="H3" s="89">
        <v>2026</v>
      </c>
      <c r="I3" s="89">
        <v>2027</v>
      </c>
      <c r="J3" s="90">
        <v>2028</v>
      </c>
      <c r="K3" s="90">
        <v>2029</v>
      </c>
      <c r="L3" s="42"/>
    </row>
    <row r="4" spans="1:12" ht="15.75" x14ac:dyDescent="0.25">
      <c r="A4" s="142"/>
      <c r="B4" s="142"/>
      <c r="C4" s="142"/>
      <c r="D4" s="142"/>
      <c r="E4" s="42"/>
      <c r="F4" s="68" t="s">
        <v>48</v>
      </c>
      <c r="G4" s="59">
        <v>120000</v>
      </c>
      <c r="H4" s="59"/>
      <c r="I4" s="59"/>
      <c r="J4" s="62"/>
      <c r="K4" s="46"/>
      <c r="L4" s="42"/>
    </row>
    <row r="5" spans="1:12" ht="15.75" x14ac:dyDescent="0.25">
      <c r="A5" s="153" t="s">
        <v>80</v>
      </c>
      <c r="B5" s="197" t="s">
        <v>119</v>
      </c>
      <c r="C5" s="197"/>
      <c r="D5" s="141"/>
      <c r="E5" s="42"/>
      <c r="F5" s="68" t="s">
        <v>49</v>
      </c>
      <c r="G5" s="59">
        <v>4</v>
      </c>
      <c r="H5" s="59"/>
      <c r="I5" s="59"/>
      <c r="J5" s="62"/>
      <c r="K5" s="46"/>
      <c r="L5" s="42"/>
    </row>
    <row r="6" spans="1:12" ht="15.75" x14ac:dyDescent="0.25">
      <c r="A6" s="142"/>
      <c r="B6" s="142"/>
      <c r="C6" s="142"/>
      <c r="D6" s="142"/>
      <c r="E6" s="42"/>
      <c r="F6" s="68" t="s">
        <v>50</v>
      </c>
      <c r="G6" s="59">
        <v>400</v>
      </c>
      <c r="H6" s="59"/>
      <c r="I6" s="59"/>
      <c r="J6" s="62"/>
      <c r="K6" s="46"/>
      <c r="L6" s="42"/>
    </row>
    <row r="7" spans="1:12" ht="15.75" x14ac:dyDescent="0.25">
      <c r="A7" s="140" t="s">
        <v>72</v>
      </c>
      <c r="B7" s="154" t="s">
        <v>73</v>
      </c>
      <c r="C7" s="143" t="s">
        <v>169</v>
      </c>
      <c r="D7" s="141"/>
      <c r="E7" s="42"/>
      <c r="F7" s="47"/>
      <c r="G7" s="48"/>
      <c r="H7" s="49"/>
      <c r="I7" s="48"/>
      <c r="J7" s="50"/>
      <c r="K7" s="42"/>
      <c r="L7" s="42"/>
    </row>
    <row r="8" spans="1:12" ht="15.75" x14ac:dyDescent="0.25">
      <c r="A8" s="142"/>
      <c r="B8" s="154" t="s">
        <v>74</v>
      </c>
      <c r="C8" s="143"/>
      <c r="D8" s="141"/>
      <c r="E8" s="42"/>
      <c r="F8" s="51" t="s">
        <v>84</v>
      </c>
      <c r="G8" s="52"/>
      <c r="H8" s="49"/>
      <c r="I8" s="52"/>
      <c r="J8" s="50"/>
      <c r="K8" s="42"/>
      <c r="L8" s="42"/>
    </row>
    <row r="9" spans="1:12" ht="15.75" x14ac:dyDescent="0.25">
      <c r="A9" s="142"/>
      <c r="B9" s="154" t="s">
        <v>75</v>
      </c>
      <c r="C9" s="143"/>
      <c r="D9" s="141"/>
      <c r="E9" s="42"/>
      <c r="F9" s="68" t="s">
        <v>90</v>
      </c>
      <c r="G9" s="59">
        <v>15</v>
      </c>
      <c r="H9" s="59"/>
      <c r="I9" s="59"/>
      <c r="J9" s="60"/>
      <c r="K9" s="46"/>
      <c r="L9" s="42"/>
    </row>
    <row r="10" spans="1:12" ht="15.75" x14ac:dyDescent="0.25">
      <c r="A10" s="142"/>
      <c r="B10" s="154" t="s">
        <v>76</v>
      </c>
      <c r="C10" s="143"/>
      <c r="D10" s="141"/>
      <c r="E10" s="42"/>
      <c r="F10" s="68" t="s">
        <v>85</v>
      </c>
      <c r="G10" s="59">
        <v>6</v>
      </c>
      <c r="H10" s="59"/>
      <c r="I10" s="59"/>
      <c r="J10" s="62"/>
      <c r="K10" s="46"/>
      <c r="L10" s="42"/>
    </row>
    <row r="11" spans="1:12" ht="15.75" x14ac:dyDescent="0.25">
      <c r="A11" s="142"/>
      <c r="B11" s="154" t="s">
        <v>77</v>
      </c>
      <c r="C11" s="143"/>
      <c r="D11" s="141"/>
      <c r="E11" s="42"/>
      <c r="F11" s="68" t="s">
        <v>51</v>
      </c>
      <c r="G11" s="59">
        <v>4</v>
      </c>
      <c r="H11" s="59"/>
      <c r="I11" s="59"/>
      <c r="J11" s="62"/>
      <c r="K11" s="46"/>
      <c r="L11" s="42"/>
    </row>
    <row r="12" spans="1:12" ht="19.5" customHeight="1" x14ac:dyDescent="0.25">
      <c r="A12" s="142"/>
      <c r="B12" s="154" t="s">
        <v>78</v>
      </c>
      <c r="C12" s="143"/>
      <c r="D12" s="141"/>
      <c r="E12" s="42"/>
      <c r="L12" s="42"/>
    </row>
    <row r="13" spans="1:12" ht="15" customHeight="1" x14ac:dyDescent="0.25">
      <c r="A13" s="142"/>
      <c r="B13" s="154" t="s">
        <v>79</v>
      </c>
      <c r="C13" s="143"/>
      <c r="D13" s="141"/>
      <c r="E13" s="42"/>
      <c r="F13" s="80" t="s">
        <v>86</v>
      </c>
      <c r="L13" s="42"/>
    </row>
    <row r="14" spans="1:12" ht="15.75" customHeight="1" x14ac:dyDescent="0.25">
      <c r="A14" s="142"/>
      <c r="B14" s="154"/>
      <c r="C14" s="141"/>
      <c r="D14" s="141"/>
      <c r="E14" s="42"/>
      <c r="F14" s="79" t="s">
        <v>95</v>
      </c>
      <c r="G14" s="194">
        <v>2</v>
      </c>
      <c r="H14" s="88"/>
      <c r="I14" s="88"/>
      <c r="J14" s="88"/>
      <c r="K14" s="88"/>
      <c r="L14" s="42"/>
    </row>
    <row r="15" spans="1:12" ht="15" customHeight="1" x14ac:dyDescent="0.25">
      <c r="A15" s="155" t="s">
        <v>83</v>
      </c>
      <c r="B15" s="143"/>
      <c r="C15" s="143" t="s">
        <v>170</v>
      </c>
      <c r="D15" s="142"/>
      <c r="E15" s="42"/>
      <c r="F15" s="82" t="s">
        <v>52</v>
      </c>
      <c r="G15" s="195">
        <v>2</v>
      </c>
      <c r="H15" s="84"/>
      <c r="I15" s="83"/>
      <c r="J15" s="83"/>
      <c r="K15" s="83"/>
      <c r="L15" s="42"/>
    </row>
    <row r="16" spans="1:12" ht="12.75" customHeight="1" x14ac:dyDescent="0.25">
      <c r="D16" s="152"/>
      <c r="E16" s="42"/>
      <c r="L16" s="42"/>
    </row>
    <row r="17" spans="1:12" ht="18.75" x14ac:dyDescent="0.25">
      <c r="A17" s="144" t="s">
        <v>109</v>
      </c>
      <c r="B17" s="145" t="s">
        <v>73</v>
      </c>
      <c r="C17" s="146" t="s">
        <v>19</v>
      </c>
      <c r="D17" s="147"/>
      <c r="E17" s="42"/>
      <c r="F17" s="51" t="s">
        <v>87</v>
      </c>
      <c r="G17" s="52"/>
      <c r="H17" s="52"/>
      <c r="I17" s="52"/>
      <c r="J17" s="54"/>
      <c r="K17" s="42"/>
      <c r="L17" s="42"/>
    </row>
    <row r="18" spans="1:12" ht="15.75" x14ac:dyDescent="0.25">
      <c r="A18" s="147"/>
      <c r="B18" s="145" t="s">
        <v>74</v>
      </c>
      <c r="C18" s="146" t="s">
        <v>171</v>
      </c>
      <c r="D18" s="147"/>
      <c r="E18" s="42"/>
      <c r="F18" s="68" t="s">
        <v>53</v>
      </c>
      <c r="G18" s="61">
        <v>2</v>
      </c>
      <c r="H18" s="61"/>
      <c r="I18" s="61"/>
      <c r="J18" s="65"/>
      <c r="K18" s="46"/>
      <c r="L18" s="42"/>
    </row>
    <row r="19" spans="1:12" ht="15.75" x14ac:dyDescent="0.25">
      <c r="A19" s="147"/>
      <c r="B19" s="145" t="s">
        <v>75</v>
      </c>
      <c r="C19" s="146"/>
      <c r="D19" s="147"/>
      <c r="E19" s="42"/>
      <c r="F19" s="68" t="s">
        <v>54</v>
      </c>
      <c r="G19" s="63"/>
      <c r="H19" s="63"/>
      <c r="I19" s="63"/>
      <c r="J19" s="64"/>
      <c r="K19" s="46"/>
    </row>
    <row r="20" spans="1:12" ht="15.75" x14ac:dyDescent="0.25">
      <c r="A20" s="147"/>
      <c r="B20" s="145" t="s">
        <v>76</v>
      </c>
      <c r="C20" s="146"/>
      <c r="D20" s="147"/>
      <c r="E20" s="42"/>
      <c r="F20" s="66"/>
      <c r="G20" s="48"/>
      <c r="H20" s="48"/>
      <c r="I20" s="48"/>
      <c r="J20" s="67"/>
      <c r="K20" s="56"/>
    </row>
    <row r="21" spans="1:12" ht="15.75" x14ac:dyDescent="0.25">
      <c r="A21" s="147"/>
      <c r="B21" s="145" t="s">
        <v>77</v>
      </c>
      <c r="C21" s="146"/>
      <c r="D21" s="147"/>
      <c r="E21" s="42"/>
      <c r="F21" s="55" t="s">
        <v>88</v>
      </c>
      <c r="G21" s="52"/>
      <c r="H21" s="52"/>
      <c r="I21" s="52"/>
      <c r="J21" s="54"/>
      <c r="K21" s="42"/>
    </row>
    <row r="22" spans="1:12" ht="15.75" x14ac:dyDescent="0.25">
      <c r="A22" s="147"/>
      <c r="B22" s="147"/>
      <c r="C22" s="147"/>
      <c r="D22" s="147"/>
      <c r="E22" s="42"/>
      <c r="F22" s="68" t="s">
        <v>65</v>
      </c>
      <c r="G22" s="61">
        <v>45</v>
      </c>
      <c r="H22" s="61"/>
      <c r="I22" s="61"/>
      <c r="J22" s="65"/>
      <c r="K22" s="46"/>
      <c r="L22" s="42"/>
    </row>
    <row r="23" spans="1:12" ht="18.75" x14ac:dyDescent="0.3">
      <c r="A23" s="148" t="s">
        <v>110</v>
      </c>
      <c r="B23" s="156">
        <v>1</v>
      </c>
      <c r="C23" s="149" t="s">
        <v>172</v>
      </c>
      <c r="D23" s="147"/>
      <c r="E23" s="42"/>
      <c r="F23" s="68" t="s">
        <v>64</v>
      </c>
      <c r="G23" s="59">
        <v>12</v>
      </c>
      <c r="H23" s="59"/>
      <c r="I23" s="59"/>
      <c r="J23" s="62"/>
      <c r="K23" s="46"/>
      <c r="L23" s="42"/>
    </row>
    <row r="24" spans="1:12" ht="15.75" x14ac:dyDescent="0.25">
      <c r="A24" s="147"/>
      <c r="B24" s="157">
        <v>2</v>
      </c>
      <c r="C24" s="150"/>
      <c r="D24" s="147"/>
      <c r="E24" s="42"/>
      <c r="F24" s="68" t="s">
        <v>111</v>
      </c>
      <c r="G24" s="59">
        <v>0</v>
      </c>
      <c r="H24" s="59"/>
      <c r="I24" s="59"/>
      <c r="J24" s="62"/>
      <c r="K24" s="46"/>
      <c r="L24" s="42"/>
    </row>
    <row r="25" spans="1:12" ht="15.75" x14ac:dyDescent="0.25">
      <c r="A25" s="147"/>
      <c r="B25" s="157">
        <v>3</v>
      </c>
      <c r="C25" s="150"/>
      <c r="D25" s="147"/>
      <c r="E25" s="42"/>
      <c r="F25" s="47"/>
      <c r="G25" s="48"/>
      <c r="H25" s="48"/>
      <c r="I25" s="48"/>
      <c r="J25" s="53"/>
      <c r="K25" s="42"/>
      <c r="L25" s="42"/>
    </row>
    <row r="26" spans="1:12" ht="15.75" x14ac:dyDescent="0.25">
      <c r="A26" s="147"/>
      <c r="B26" s="157">
        <v>4</v>
      </c>
      <c r="C26" s="150"/>
      <c r="D26" s="147"/>
      <c r="E26" s="42"/>
      <c r="F26" s="51" t="s">
        <v>19</v>
      </c>
      <c r="G26" s="52"/>
      <c r="H26" s="52"/>
      <c r="I26" s="52"/>
      <c r="J26" s="54"/>
      <c r="K26" s="42"/>
      <c r="L26" s="42"/>
    </row>
    <row r="27" spans="1:12" ht="15.75" x14ac:dyDescent="0.25">
      <c r="A27" s="147"/>
      <c r="B27" s="157">
        <v>5</v>
      </c>
      <c r="C27" s="150"/>
      <c r="D27" s="147"/>
      <c r="E27" s="42"/>
      <c r="F27" s="68" t="s">
        <v>93</v>
      </c>
      <c r="G27" s="61">
        <v>10</v>
      </c>
      <c r="H27" s="61"/>
      <c r="I27" s="61"/>
      <c r="J27" s="65"/>
      <c r="K27" s="46"/>
      <c r="L27" s="42"/>
    </row>
    <row r="28" spans="1:12" ht="16.5" customHeight="1" x14ac:dyDescent="0.25">
      <c r="A28" s="147"/>
      <c r="B28" s="157">
        <v>6</v>
      </c>
      <c r="C28" s="150"/>
      <c r="D28" s="151"/>
      <c r="E28" s="42"/>
      <c r="F28" s="81" t="s">
        <v>91</v>
      </c>
      <c r="G28" s="85"/>
      <c r="H28" s="85"/>
      <c r="I28" s="85"/>
      <c r="J28" s="86"/>
      <c r="K28" s="87"/>
      <c r="L28" s="42"/>
    </row>
    <row r="29" spans="1:12" ht="15" customHeight="1" x14ac:dyDescent="0.25">
      <c r="A29" s="147"/>
      <c r="B29" s="157">
        <v>7</v>
      </c>
      <c r="C29" s="150"/>
      <c r="D29" s="147"/>
      <c r="E29" s="42"/>
      <c r="F29" s="68" t="s">
        <v>63</v>
      </c>
      <c r="G29" s="69">
        <v>3</v>
      </c>
      <c r="H29" s="69"/>
      <c r="I29" s="69"/>
      <c r="J29" s="70"/>
      <c r="K29" s="57"/>
      <c r="L29" s="42"/>
    </row>
    <row r="30" spans="1:12" ht="17.25" customHeight="1" x14ac:dyDescent="0.25">
      <c r="E30" s="42"/>
      <c r="F30" s="76" t="s">
        <v>94</v>
      </c>
      <c r="G30" s="59">
        <v>9</v>
      </c>
      <c r="H30" s="59"/>
      <c r="I30" s="59"/>
      <c r="J30" s="62"/>
      <c r="K30" s="46"/>
      <c r="L30" s="42"/>
    </row>
    <row r="31" spans="1:12" ht="18.75" x14ac:dyDescent="0.3">
      <c r="A31" s="78" t="s">
        <v>66</v>
      </c>
      <c r="B31" s="199">
        <f>SUM(B32:C36)</f>
        <v>11210000</v>
      </c>
      <c r="C31" s="199"/>
      <c r="E31" s="42"/>
      <c r="F31" s="68" t="s">
        <v>92</v>
      </c>
      <c r="G31" s="59"/>
      <c r="H31" s="59"/>
      <c r="I31" s="59"/>
      <c r="J31" s="62"/>
      <c r="K31" s="46"/>
      <c r="L31" s="42"/>
    </row>
    <row r="32" spans="1:12" ht="15.75" x14ac:dyDescent="0.25">
      <c r="A32" s="75" t="s">
        <v>67</v>
      </c>
      <c r="B32" s="196">
        <f>Investigación!Q35</f>
        <v>0</v>
      </c>
      <c r="C32" s="196"/>
      <c r="E32" s="42"/>
      <c r="F32" s="42"/>
      <c r="G32" s="43"/>
      <c r="H32" s="43"/>
      <c r="I32" s="42"/>
      <c r="J32" s="44"/>
      <c r="K32" s="42"/>
      <c r="L32" s="42"/>
    </row>
    <row r="33" spans="1:12" ht="15.75" x14ac:dyDescent="0.25">
      <c r="A33" s="75" t="s">
        <v>68</v>
      </c>
      <c r="B33" s="196">
        <f>Encarnación!Q35</f>
        <v>0</v>
      </c>
      <c r="C33" s="196"/>
      <c r="D33" s="42"/>
      <c r="E33" s="42"/>
      <c r="F33" s="51" t="s">
        <v>89</v>
      </c>
      <c r="G33" s="52"/>
      <c r="H33" s="52"/>
      <c r="I33" s="52"/>
      <c r="J33" s="54"/>
      <c r="K33" s="42"/>
      <c r="L33" s="42"/>
    </row>
    <row r="34" spans="1:12" ht="15.75" x14ac:dyDescent="0.25">
      <c r="A34" s="75" t="s">
        <v>69</v>
      </c>
      <c r="B34" s="196">
        <f>Evangelización!Q35</f>
        <v>0</v>
      </c>
      <c r="C34" s="196"/>
      <c r="D34" s="42"/>
      <c r="E34" s="42"/>
      <c r="F34" s="68" t="s">
        <v>55</v>
      </c>
      <c r="G34" s="61">
        <v>1</v>
      </c>
      <c r="H34" s="61"/>
      <c r="I34" s="61"/>
      <c r="J34" s="65"/>
      <c r="K34" s="46"/>
      <c r="L34" s="42"/>
    </row>
    <row r="35" spans="1:12" ht="15.75" x14ac:dyDescent="0.25">
      <c r="A35" s="75" t="s">
        <v>71</v>
      </c>
      <c r="B35" s="196">
        <f>Entrenamiento!Q35</f>
        <v>11210000</v>
      </c>
      <c r="C35" s="196"/>
      <c r="D35" s="42"/>
      <c r="E35" s="42"/>
      <c r="F35" s="68" t="s">
        <v>56</v>
      </c>
      <c r="G35" s="59">
        <v>1</v>
      </c>
      <c r="H35" s="59"/>
      <c r="I35" s="59"/>
      <c r="J35" s="62"/>
      <c r="K35" s="46"/>
      <c r="L35" s="42"/>
    </row>
    <row r="36" spans="1:12" ht="15.75" x14ac:dyDescent="0.25">
      <c r="A36" s="75" t="s">
        <v>70</v>
      </c>
      <c r="B36" s="196">
        <f>Autocuidado!Q35</f>
        <v>0</v>
      </c>
      <c r="C36" s="196"/>
      <c r="D36" s="42"/>
      <c r="E36" s="42"/>
      <c r="F36" s="68" t="s">
        <v>57</v>
      </c>
      <c r="G36" s="59">
        <v>1</v>
      </c>
      <c r="H36" s="59"/>
      <c r="I36" s="59"/>
      <c r="J36" s="62"/>
      <c r="K36" s="46"/>
      <c r="L36" s="42"/>
    </row>
    <row r="37" spans="1:12" ht="15.75" x14ac:dyDescent="0.25">
      <c r="A37" s="42"/>
      <c r="B37" s="42"/>
      <c r="C37" s="42"/>
      <c r="D37" s="42"/>
      <c r="E37" s="42"/>
      <c r="F37" s="68" t="s">
        <v>58</v>
      </c>
      <c r="G37" s="59"/>
      <c r="H37" s="59"/>
      <c r="I37" s="59"/>
      <c r="J37" s="62"/>
      <c r="K37" s="46"/>
      <c r="L37" s="42"/>
    </row>
    <row r="38" spans="1:12" ht="15.75" x14ac:dyDescent="0.25">
      <c r="A38" s="42"/>
      <c r="B38" s="42"/>
      <c r="C38" s="42"/>
      <c r="D38" s="42"/>
      <c r="E38" s="42"/>
      <c r="F38" s="68" t="s">
        <v>59</v>
      </c>
      <c r="G38" s="59"/>
      <c r="H38" s="59"/>
      <c r="I38" s="59"/>
      <c r="J38" s="62"/>
      <c r="K38" s="46"/>
    </row>
    <row r="39" spans="1:12" ht="15.75" x14ac:dyDescent="0.25">
      <c r="A39" s="42"/>
      <c r="B39" s="42"/>
      <c r="C39" s="42"/>
      <c r="D39" s="42"/>
      <c r="E39" s="42"/>
      <c r="F39" s="68" t="s">
        <v>60</v>
      </c>
      <c r="G39" s="59"/>
      <c r="H39" s="59"/>
      <c r="I39" s="59"/>
      <c r="J39" s="62"/>
      <c r="K39" s="46"/>
    </row>
    <row r="40" spans="1:12" ht="15.75" x14ac:dyDescent="0.25">
      <c r="F40" s="68" t="s">
        <v>61</v>
      </c>
      <c r="G40" s="59"/>
      <c r="H40" s="59"/>
      <c r="I40" s="59"/>
      <c r="J40" s="62"/>
      <c r="K40" s="46"/>
    </row>
    <row r="41" spans="1:12" ht="15.75" x14ac:dyDescent="0.25">
      <c r="F41" s="68" t="s">
        <v>62</v>
      </c>
      <c r="G41" s="59"/>
      <c r="H41" s="59"/>
      <c r="I41" s="59"/>
      <c r="J41" s="62"/>
      <c r="K41" s="46"/>
    </row>
  </sheetData>
  <sheetProtection algorithmName="SHA-512" hashValue="n/W6woq4ilxCiISeWcoiiuf1FsjVMrz5yfT8PWbW/52BYjVRdRszauwpBOa+UO3UVOEJMcvema6a8za2edCY/A==" saltValue="jgwNRLST6inhCrXqXypYdQ==" spinCount="100000" sheet="1" objects="1" scenarios="1"/>
  <mergeCells count="9">
    <mergeCell ref="B36:C36"/>
    <mergeCell ref="B5:C5"/>
    <mergeCell ref="B3:C3"/>
    <mergeCell ref="A1:K1"/>
    <mergeCell ref="B31:C31"/>
    <mergeCell ref="B34:C34"/>
    <mergeCell ref="B35:C35"/>
    <mergeCell ref="B32:C32"/>
    <mergeCell ref="B33:C33"/>
  </mergeCells>
  <pageMargins left="0.31496062992125984" right="0.31496062992125984" top="0.35433070866141736" bottom="0.35433070866141736" header="0.31496062992125984" footer="0.31496062992125984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I43"/>
  <sheetViews>
    <sheetView topLeftCell="H1" zoomScale="70" zoomScaleNormal="70" workbookViewId="0">
      <pane ySplit="11" topLeftCell="A12" activePane="bottomLeft" state="frozen"/>
      <selection pane="bottomLeft" activeCell="R27" sqref="R27:S27"/>
    </sheetView>
  </sheetViews>
  <sheetFormatPr baseColWidth="10" defaultRowHeight="15" x14ac:dyDescent="0.25"/>
  <cols>
    <col min="1" max="1" width="16.7109375" style="2" customWidth="1"/>
    <col min="2" max="2" width="15" style="2" customWidth="1"/>
    <col min="3" max="3" width="15.140625" style="2" customWidth="1"/>
    <col min="4" max="4" width="29.5703125" style="2" customWidth="1"/>
    <col min="5" max="5" width="23.5703125" style="2" customWidth="1"/>
    <col min="6" max="6" width="45.7109375" style="2" customWidth="1"/>
    <col min="7" max="7" width="44.85546875" style="2" customWidth="1"/>
    <col min="8" max="8" width="43.85546875" style="2" customWidth="1"/>
    <col min="9" max="9" width="22.140625" style="2" customWidth="1"/>
    <col min="10" max="10" width="14.7109375" style="2" customWidth="1"/>
    <col min="11" max="11" width="13.7109375" style="2" customWidth="1"/>
    <col min="12" max="12" width="11.140625" style="2" customWidth="1"/>
    <col min="13" max="13" width="11.28515625" style="2" customWidth="1"/>
    <col min="14" max="14" width="11.7109375" style="2" customWidth="1"/>
    <col min="15" max="15" width="13.28515625" style="2" customWidth="1"/>
    <col min="16" max="16" width="15.42578125" style="2" customWidth="1"/>
    <col min="17" max="17" width="16.42578125" style="2" customWidth="1"/>
    <col min="18" max="18" width="17.28515625" style="2" customWidth="1"/>
    <col min="19" max="19" width="30.42578125" style="2" customWidth="1"/>
    <col min="20" max="20" width="16.5703125" style="2" customWidth="1"/>
    <col min="21" max="23" width="16.5703125" style="2" hidden="1" customWidth="1"/>
    <col min="24" max="24" width="16.5703125" style="2" customWidth="1"/>
    <col min="25" max="16384" width="11.42578125" style="2"/>
  </cols>
  <sheetData>
    <row r="1" spans="1:35" ht="20.25" customHeight="1" x14ac:dyDescent="0.3">
      <c r="A1" s="200" t="s">
        <v>97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4"/>
      <c r="U1" s="4"/>
    </row>
    <row r="2" spans="1:35" ht="21.75" customHeight="1" x14ac:dyDescent="0.25">
      <c r="A2" s="159" t="s">
        <v>98</v>
      </c>
      <c r="B2" s="98">
        <v>45749</v>
      </c>
      <c r="C2" s="219" t="s">
        <v>37</v>
      </c>
      <c r="D2" s="220"/>
      <c r="E2" s="160" t="s">
        <v>44</v>
      </c>
      <c r="F2" s="131"/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33</v>
      </c>
      <c r="V2" s="27" t="s">
        <v>106</v>
      </c>
      <c r="W2" s="11" t="s">
        <v>38</v>
      </c>
    </row>
    <row r="3" spans="1:35" ht="17.25" customHeight="1" thickBot="1" x14ac:dyDescent="0.3">
      <c r="A3" s="161" t="s">
        <v>0</v>
      </c>
      <c r="B3" s="91" t="s">
        <v>29</v>
      </c>
      <c r="C3" s="235" t="s">
        <v>39</v>
      </c>
      <c r="D3" s="236"/>
      <c r="E3" s="235" t="s">
        <v>43</v>
      </c>
      <c r="F3" s="237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3" t="s">
        <v>15</v>
      </c>
      <c r="W3" s="13" t="s">
        <v>25</v>
      </c>
    </row>
    <row r="4" spans="1:35" ht="18" customHeight="1" thickTop="1" x14ac:dyDescent="0.25">
      <c r="A4" s="71" t="s">
        <v>40</v>
      </c>
      <c r="B4" s="19"/>
      <c r="C4" s="221"/>
      <c r="D4" s="222"/>
      <c r="E4" s="225"/>
      <c r="F4" s="226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3" t="s">
        <v>22</v>
      </c>
      <c r="W4" s="13" t="s">
        <v>30</v>
      </c>
    </row>
    <row r="5" spans="1:35" ht="12.75" customHeight="1" x14ac:dyDescent="0.25">
      <c r="A5" s="72"/>
      <c r="B5" s="73"/>
      <c r="C5" s="223"/>
      <c r="D5" s="224"/>
      <c r="E5" s="227"/>
      <c r="F5" s="22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3"/>
      <c r="W5" s="13" t="s">
        <v>27</v>
      </c>
      <c r="X5" s="12"/>
    </row>
    <row r="6" spans="1:35" ht="17.25" customHeight="1" x14ac:dyDescent="0.25">
      <c r="A6" s="72"/>
      <c r="B6" s="73"/>
      <c r="C6" s="245" t="s">
        <v>45</v>
      </c>
      <c r="D6" s="246"/>
      <c r="E6" s="243" t="s">
        <v>46</v>
      </c>
      <c r="F6" s="244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3"/>
      <c r="W6" s="13" t="s">
        <v>28</v>
      </c>
      <c r="X6" s="12"/>
    </row>
    <row r="7" spans="1:35" ht="15.75" customHeight="1" x14ac:dyDescent="0.25">
      <c r="A7" s="72"/>
      <c r="B7" s="73"/>
      <c r="C7" s="250"/>
      <c r="D7" s="250"/>
      <c r="E7" s="225"/>
      <c r="F7" s="22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V7" s="14"/>
      <c r="W7" s="13" t="s">
        <v>31</v>
      </c>
      <c r="X7" s="12"/>
    </row>
    <row r="8" spans="1:35" ht="15" customHeight="1" x14ac:dyDescent="0.25">
      <c r="A8" s="72"/>
      <c r="B8" s="73"/>
      <c r="C8" s="250"/>
      <c r="D8" s="250"/>
      <c r="E8" s="250"/>
      <c r="F8" s="2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V8" s="14"/>
      <c r="W8" s="13" t="s">
        <v>26</v>
      </c>
      <c r="X8" s="12"/>
    </row>
    <row r="9" spans="1:35" ht="21" customHeight="1" x14ac:dyDescent="0.25">
      <c r="A9" s="72"/>
      <c r="B9" s="73"/>
      <c r="C9" s="120"/>
      <c r="D9" s="119"/>
      <c r="E9" s="119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V9" s="14"/>
      <c r="W9" s="13" t="s">
        <v>29</v>
      </c>
      <c r="X9" s="12"/>
    </row>
    <row r="10" spans="1:35" ht="15" customHeight="1" x14ac:dyDescent="0.25">
      <c r="A10" s="105"/>
      <c r="B10" s="15"/>
      <c r="D10" s="93"/>
      <c r="E10" s="94"/>
      <c r="F10" s="206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5" t="s">
        <v>3</v>
      </c>
      <c r="M10" s="215" t="s">
        <v>4</v>
      </c>
      <c r="N10" s="213" t="s">
        <v>14</v>
      </c>
      <c r="O10" s="211" t="s">
        <v>10</v>
      </c>
      <c r="P10" s="210" t="s">
        <v>2</v>
      </c>
      <c r="Q10" s="210"/>
      <c r="R10" s="231" t="s">
        <v>96</v>
      </c>
      <c r="S10" s="232"/>
      <c r="X10" s="12"/>
    </row>
    <row r="11" spans="1:35" ht="25.5" customHeight="1" x14ac:dyDescent="0.25">
      <c r="A11" s="101" t="s">
        <v>11</v>
      </c>
      <c r="B11" s="92" t="s">
        <v>107</v>
      </c>
      <c r="C11" s="129" t="s">
        <v>100</v>
      </c>
      <c r="D11" s="229" t="s">
        <v>36</v>
      </c>
      <c r="E11" s="230"/>
      <c r="F11" s="207"/>
      <c r="G11" s="95" t="s">
        <v>23</v>
      </c>
      <c r="H11" s="96" t="s">
        <v>24</v>
      </c>
      <c r="I11" s="242"/>
      <c r="J11" s="240"/>
      <c r="K11" s="239"/>
      <c r="L11" s="216"/>
      <c r="M11" s="216"/>
      <c r="N11" s="214"/>
      <c r="O11" s="212"/>
      <c r="P11" s="97" t="s">
        <v>12</v>
      </c>
      <c r="Q11" s="106" t="s">
        <v>13</v>
      </c>
      <c r="R11" s="233"/>
      <c r="S11" s="234"/>
      <c r="X11" s="12"/>
    </row>
    <row r="12" spans="1:35" ht="20.25" customHeight="1" x14ac:dyDescent="0.25">
      <c r="A12" s="23" t="s">
        <v>33</v>
      </c>
      <c r="B12" s="35" t="s">
        <v>106</v>
      </c>
      <c r="C12" s="37"/>
      <c r="D12" s="217"/>
      <c r="E12" s="218"/>
      <c r="F12" s="137"/>
      <c r="G12" s="137"/>
      <c r="H12" s="137"/>
      <c r="I12" s="5"/>
      <c r="J12" s="5"/>
      <c r="K12" s="5"/>
      <c r="L12" s="162"/>
      <c r="M12" s="162"/>
      <c r="N12" s="165">
        <f>(M12-L12)/7</f>
        <v>0</v>
      </c>
      <c r="O12" s="166">
        <f ca="1">(M12-TODAY())/7</f>
        <v>-6615.5714285714284</v>
      </c>
      <c r="P12" s="58">
        <v>0</v>
      </c>
      <c r="Q12" s="58">
        <v>0</v>
      </c>
      <c r="R12" s="251"/>
      <c r="S12" s="251"/>
      <c r="X12" s="13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7.25" customHeight="1" x14ac:dyDescent="0.25">
      <c r="A13" s="22" t="s">
        <v>33</v>
      </c>
      <c r="B13" s="99"/>
      <c r="C13" s="38"/>
      <c r="D13" s="208"/>
      <c r="E13" s="209"/>
      <c r="F13" s="138"/>
      <c r="G13" s="138"/>
      <c r="H13" s="138"/>
      <c r="I13" s="8"/>
      <c r="J13" s="8"/>
      <c r="K13" s="8"/>
      <c r="L13" s="163"/>
      <c r="M13" s="163"/>
      <c r="N13" s="165">
        <f t="shared" ref="N13:N28" si="0">(M13-L13)/7</f>
        <v>0</v>
      </c>
      <c r="O13" s="167">
        <f ca="1">(M13-TODAY())/7</f>
        <v>-6615.5714285714284</v>
      </c>
      <c r="P13" s="58">
        <v>0</v>
      </c>
      <c r="Q13" s="107">
        <v>0</v>
      </c>
      <c r="R13" s="251"/>
      <c r="S13" s="251"/>
      <c r="X13" s="13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17.25" customHeight="1" x14ac:dyDescent="0.25">
      <c r="A14" s="21" t="s">
        <v>33</v>
      </c>
      <c r="B14" s="99"/>
      <c r="C14" s="38"/>
      <c r="D14" s="208"/>
      <c r="E14" s="209"/>
      <c r="F14" s="138"/>
      <c r="G14" s="138"/>
      <c r="H14" s="138"/>
      <c r="I14" s="8"/>
      <c r="J14" s="8"/>
      <c r="K14" s="8"/>
      <c r="L14" s="163"/>
      <c r="M14" s="163"/>
      <c r="N14" s="165">
        <f t="shared" si="0"/>
        <v>0</v>
      </c>
      <c r="O14" s="167">
        <f ca="1">(M14-TODAY())/7</f>
        <v>-6615.5714285714284</v>
      </c>
      <c r="P14" s="58">
        <v>0</v>
      </c>
      <c r="Q14" s="107">
        <v>0</v>
      </c>
      <c r="R14" s="251"/>
      <c r="S14" s="251"/>
      <c r="T14" s="6"/>
      <c r="U14" s="6"/>
      <c r="V14" s="7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8" customHeight="1" x14ac:dyDescent="0.25">
      <c r="A15" s="21" t="s">
        <v>33</v>
      </c>
      <c r="B15" s="99"/>
      <c r="C15" s="38"/>
      <c r="D15" s="208"/>
      <c r="E15" s="209"/>
      <c r="F15" s="138"/>
      <c r="G15" s="138"/>
      <c r="H15" s="138"/>
      <c r="I15" s="8"/>
      <c r="J15" s="8"/>
      <c r="K15" s="8"/>
      <c r="L15" s="163"/>
      <c r="M15" s="163"/>
      <c r="N15" s="165">
        <f t="shared" si="0"/>
        <v>0</v>
      </c>
      <c r="O15" s="167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8.75" customHeight="1" thickBot="1" x14ac:dyDescent="0.3">
      <c r="A16" s="23" t="s">
        <v>33</v>
      </c>
      <c r="B16" s="100"/>
      <c r="C16" s="38"/>
      <c r="D16" s="202"/>
      <c r="E16" s="203"/>
      <c r="F16" s="138"/>
      <c r="G16" s="138"/>
      <c r="H16" s="138"/>
      <c r="I16" s="8"/>
      <c r="J16" s="8"/>
      <c r="K16" s="8"/>
      <c r="L16" s="163"/>
      <c r="M16" s="163"/>
      <c r="N16" s="165">
        <f t="shared" si="0"/>
        <v>0</v>
      </c>
      <c r="O16" s="167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0.75" customHeight="1" thickTop="1" x14ac:dyDescent="0.25">
      <c r="A17" s="41"/>
      <c r="B17" s="31"/>
      <c r="C17" s="34"/>
      <c r="D17" s="135"/>
      <c r="E17" s="135"/>
      <c r="F17" s="135"/>
      <c r="G17" s="135"/>
      <c r="H17" s="135"/>
      <c r="I17" s="9"/>
      <c r="J17" s="9"/>
      <c r="K17" s="9"/>
      <c r="L17" s="164"/>
      <c r="M17" s="164"/>
      <c r="N17" s="168"/>
      <c r="O17" s="169"/>
      <c r="P17" s="58">
        <v>0</v>
      </c>
      <c r="Q17" s="107"/>
      <c r="R17" s="251"/>
      <c r="S17" s="251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.75" x14ac:dyDescent="0.25">
      <c r="A18" s="21" t="s">
        <v>33</v>
      </c>
      <c r="B18" s="39" t="s">
        <v>106</v>
      </c>
      <c r="C18" s="38"/>
      <c r="D18" s="202"/>
      <c r="E18" s="203"/>
      <c r="F18" s="138"/>
      <c r="G18" s="138"/>
      <c r="H18" s="138"/>
      <c r="I18" s="8"/>
      <c r="J18" s="8"/>
      <c r="K18" s="8"/>
      <c r="L18" s="163"/>
      <c r="M18" s="163"/>
      <c r="N18" s="165">
        <f t="shared" si="0"/>
        <v>0</v>
      </c>
      <c r="O18" s="167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5.75" x14ac:dyDescent="0.25">
      <c r="A19" s="21" t="s">
        <v>33</v>
      </c>
      <c r="B19" s="40"/>
      <c r="C19" s="38"/>
      <c r="D19" s="202"/>
      <c r="E19" s="203"/>
      <c r="F19" s="138"/>
      <c r="G19" s="138"/>
      <c r="H19" s="138"/>
      <c r="I19" s="8"/>
      <c r="J19" s="8"/>
      <c r="K19" s="8"/>
      <c r="L19" s="163"/>
      <c r="M19" s="163"/>
      <c r="N19" s="165">
        <f t="shared" si="0"/>
        <v>0</v>
      </c>
      <c r="O19" s="167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5.75" x14ac:dyDescent="0.25">
      <c r="A20" s="25" t="s">
        <v>33</v>
      </c>
      <c r="B20" s="40"/>
      <c r="C20" s="38"/>
      <c r="D20" s="202"/>
      <c r="E20" s="203"/>
      <c r="F20" s="138"/>
      <c r="G20" s="138"/>
      <c r="H20" s="138"/>
      <c r="I20" s="8"/>
      <c r="J20" s="8"/>
      <c r="K20" s="8"/>
      <c r="L20" s="163"/>
      <c r="M20" s="163"/>
      <c r="N20" s="165">
        <f t="shared" si="0"/>
        <v>0</v>
      </c>
      <c r="O20" s="167">
        <f t="shared" ca="1" si="1"/>
        <v>-6615.5714285714284</v>
      </c>
      <c r="P20" s="58">
        <v>0</v>
      </c>
      <c r="Q20" s="107">
        <v>0</v>
      </c>
      <c r="R20" s="251"/>
      <c r="S20" s="251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5.75" x14ac:dyDescent="0.25">
      <c r="A21" s="25" t="s">
        <v>33</v>
      </c>
      <c r="B21" s="40"/>
      <c r="C21" s="38"/>
      <c r="D21" s="202"/>
      <c r="E21" s="203"/>
      <c r="F21" s="138"/>
      <c r="G21" s="138"/>
      <c r="H21" s="138"/>
      <c r="I21" s="8"/>
      <c r="J21" s="8"/>
      <c r="K21" s="8"/>
      <c r="L21" s="163"/>
      <c r="M21" s="163"/>
      <c r="N21" s="165">
        <f t="shared" si="0"/>
        <v>0</v>
      </c>
      <c r="O21" s="167">
        <f t="shared" ca="1" si="1"/>
        <v>-6615.5714285714284</v>
      </c>
      <c r="P21" s="58">
        <v>0</v>
      </c>
      <c r="Q21" s="107">
        <v>0</v>
      </c>
      <c r="R21" s="251"/>
      <c r="S21" s="251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5.75" x14ac:dyDescent="0.25">
      <c r="A22" s="25" t="s">
        <v>33</v>
      </c>
      <c r="B22" s="40"/>
      <c r="C22" s="38"/>
      <c r="D22" s="202"/>
      <c r="E22" s="203"/>
      <c r="F22" s="138"/>
      <c r="G22" s="138"/>
      <c r="H22" s="138"/>
      <c r="I22" s="8"/>
      <c r="J22" s="8"/>
      <c r="K22" s="8"/>
      <c r="L22" s="163"/>
      <c r="M22" s="163"/>
      <c r="N22" s="165">
        <f t="shared" si="0"/>
        <v>0</v>
      </c>
      <c r="O22" s="167">
        <f ca="1">(M22-TODAY())/7</f>
        <v>-6615.5714285714284</v>
      </c>
      <c r="P22" s="58">
        <v>0</v>
      </c>
      <c r="Q22" s="107">
        <v>0</v>
      </c>
      <c r="R22" s="251"/>
      <c r="S22" s="251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0.75" customHeight="1" x14ac:dyDescent="0.25">
      <c r="A23" s="24"/>
      <c r="B23" s="31"/>
      <c r="C23" s="34"/>
      <c r="D23" s="135"/>
      <c r="E23" s="135"/>
      <c r="F23" s="135"/>
      <c r="G23" s="135"/>
      <c r="H23" s="135"/>
      <c r="I23" s="9"/>
      <c r="J23" s="9"/>
      <c r="K23" s="9"/>
      <c r="L23" s="164"/>
      <c r="M23" s="164"/>
      <c r="N23" s="168"/>
      <c r="O23" s="169"/>
      <c r="P23" s="58">
        <v>0</v>
      </c>
      <c r="Q23" s="107"/>
      <c r="R23" s="251"/>
      <c r="S23" s="251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5.75" x14ac:dyDescent="0.25">
      <c r="A24" s="21" t="s">
        <v>33</v>
      </c>
      <c r="B24" s="35" t="s">
        <v>106</v>
      </c>
      <c r="C24" s="38"/>
      <c r="D24" s="202"/>
      <c r="E24" s="203"/>
      <c r="F24" s="138"/>
      <c r="G24" s="138"/>
      <c r="H24" s="138"/>
      <c r="I24" s="8"/>
      <c r="J24" s="8"/>
      <c r="K24" s="8"/>
      <c r="L24" s="163"/>
      <c r="M24" s="163"/>
      <c r="N24" s="165">
        <f t="shared" si="0"/>
        <v>0</v>
      </c>
      <c r="O24" s="167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5.75" x14ac:dyDescent="0.25">
      <c r="A25" s="21" t="s">
        <v>33</v>
      </c>
      <c r="B25" s="20"/>
      <c r="C25" s="38"/>
      <c r="D25" s="202"/>
      <c r="E25" s="203"/>
      <c r="F25" s="138"/>
      <c r="G25" s="138"/>
      <c r="H25" s="138"/>
      <c r="I25" s="8"/>
      <c r="J25" s="8"/>
      <c r="K25" s="8"/>
      <c r="L25" s="163"/>
      <c r="M25" s="163"/>
      <c r="N25" s="165">
        <f t="shared" si="0"/>
        <v>0</v>
      </c>
      <c r="O25" s="167">
        <f t="shared" ca="1" si="1"/>
        <v>-6615.5714285714284</v>
      </c>
      <c r="P25" s="58">
        <v>0</v>
      </c>
      <c r="Q25" s="107">
        <v>0</v>
      </c>
      <c r="R25" s="251"/>
      <c r="S25" s="251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5.75" x14ac:dyDescent="0.25">
      <c r="A26" s="21" t="s">
        <v>33</v>
      </c>
      <c r="B26" s="20"/>
      <c r="C26" s="38"/>
      <c r="D26" s="202"/>
      <c r="E26" s="203"/>
      <c r="F26" s="138"/>
      <c r="G26" s="138"/>
      <c r="H26" s="138"/>
      <c r="I26" s="8"/>
      <c r="J26" s="8"/>
      <c r="K26" s="8"/>
      <c r="L26" s="163"/>
      <c r="M26" s="163"/>
      <c r="N26" s="165">
        <f t="shared" si="0"/>
        <v>0</v>
      </c>
      <c r="O26" s="167">
        <f t="shared" ca="1" si="1"/>
        <v>-6615.5714285714284</v>
      </c>
      <c r="P26" s="58">
        <v>0</v>
      </c>
      <c r="Q26" s="107">
        <v>0</v>
      </c>
      <c r="R26" s="251"/>
      <c r="S26" s="251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5.75" x14ac:dyDescent="0.25">
      <c r="A27" s="21" t="s">
        <v>33</v>
      </c>
      <c r="B27" s="20"/>
      <c r="C27" s="38"/>
      <c r="D27" s="202"/>
      <c r="E27" s="203"/>
      <c r="F27" s="138"/>
      <c r="G27" s="138"/>
      <c r="H27" s="138"/>
      <c r="I27" s="8"/>
      <c r="J27" s="8"/>
      <c r="K27" s="8"/>
      <c r="L27" s="163"/>
      <c r="M27" s="163"/>
      <c r="N27" s="165">
        <f t="shared" si="0"/>
        <v>0</v>
      </c>
      <c r="O27" s="167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5.75" x14ac:dyDescent="0.25">
      <c r="A28" s="21" t="s">
        <v>33</v>
      </c>
      <c r="B28" s="32"/>
      <c r="C28" s="3"/>
      <c r="D28" s="202"/>
      <c r="E28" s="203"/>
      <c r="F28" s="138"/>
      <c r="G28" s="138"/>
      <c r="H28" s="138"/>
      <c r="I28" s="8"/>
      <c r="J28" s="8"/>
      <c r="K28" s="8"/>
      <c r="L28" s="163"/>
      <c r="M28" s="163"/>
      <c r="N28" s="165">
        <f t="shared" si="0"/>
        <v>0</v>
      </c>
      <c r="O28" s="167">
        <f t="shared" ca="1" si="1"/>
        <v>-6615.5714285714284</v>
      </c>
      <c r="P28" s="58">
        <v>0</v>
      </c>
      <c r="Q28" s="107">
        <v>0</v>
      </c>
      <c r="R28" s="251"/>
      <c r="S28" s="251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0.75" customHeight="1" x14ac:dyDescent="0.25">
      <c r="A29" s="24"/>
      <c r="B29" s="31"/>
      <c r="C29" s="34"/>
      <c r="D29" s="135"/>
      <c r="E29" s="135"/>
      <c r="F29" s="135"/>
      <c r="G29" s="135"/>
      <c r="H29" s="135"/>
      <c r="I29" s="9"/>
      <c r="J29" s="9"/>
      <c r="K29" s="9"/>
      <c r="L29" s="164"/>
      <c r="M29" s="164"/>
      <c r="N29" s="168"/>
      <c r="O29" s="169"/>
      <c r="P29" s="58">
        <v>0</v>
      </c>
      <c r="Q29" s="107"/>
      <c r="R29" s="251"/>
      <c r="S29" s="251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5.75" x14ac:dyDescent="0.25">
      <c r="A30" s="21" t="s">
        <v>33</v>
      </c>
      <c r="B30" s="35" t="s">
        <v>106</v>
      </c>
      <c r="C30" s="33"/>
      <c r="D30" s="202"/>
      <c r="E30" s="203"/>
      <c r="F30" s="138"/>
      <c r="G30" s="138"/>
      <c r="H30" s="138"/>
      <c r="I30" s="8"/>
      <c r="J30" s="8"/>
      <c r="K30" s="8"/>
      <c r="L30" s="163"/>
      <c r="M30" s="163"/>
      <c r="N30" s="165">
        <f t="shared" ref="N30:N34" si="2">(M30-L30)/7</f>
        <v>0</v>
      </c>
      <c r="O30" s="167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5.75" x14ac:dyDescent="0.25">
      <c r="A31" s="21" t="s">
        <v>33</v>
      </c>
      <c r="B31" s="20"/>
      <c r="C31" s="33"/>
      <c r="D31" s="202"/>
      <c r="E31" s="203"/>
      <c r="F31" s="138"/>
      <c r="G31" s="138"/>
      <c r="H31" s="138"/>
      <c r="I31" s="8"/>
      <c r="J31" s="8"/>
      <c r="K31" s="8"/>
      <c r="L31" s="163"/>
      <c r="M31" s="163"/>
      <c r="N31" s="165">
        <f t="shared" si="2"/>
        <v>0</v>
      </c>
      <c r="O31" s="167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5.75" x14ac:dyDescent="0.25">
      <c r="A32" s="21" t="s">
        <v>33</v>
      </c>
      <c r="B32" s="20"/>
      <c r="C32" s="33"/>
      <c r="D32" s="202"/>
      <c r="E32" s="203"/>
      <c r="F32" s="138"/>
      <c r="G32" s="138"/>
      <c r="H32" s="138"/>
      <c r="I32" s="8"/>
      <c r="J32" s="8"/>
      <c r="K32" s="8"/>
      <c r="L32" s="163"/>
      <c r="M32" s="163"/>
      <c r="N32" s="165">
        <f t="shared" si="2"/>
        <v>0</v>
      </c>
      <c r="O32" s="167">
        <f t="shared" ca="1" si="3"/>
        <v>-6615.5714285714284</v>
      </c>
      <c r="P32" s="58">
        <v>0</v>
      </c>
      <c r="Q32" s="107">
        <v>0</v>
      </c>
      <c r="R32" s="251"/>
      <c r="S32" s="251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5.75" x14ac:dyDescent="0.25">
      <c r="A33" s="21" t="s">
        <v>33</v>
      </c>
      <c r="B33" s="20"/>
      <c r="C33" s="33"/>
      <c r="D33" s="202"/>
      <c r="E33" s="203"/>
      <c r="F33" s="138"/>
      <c r="G33" s="138"/>
      <c r="H33" s="138"/>
      <c r="I33" s="8"/>
      <c r="J33" s="8"/>
      <c r="K33" s="8"/>
      <c r="L33" s="163"/>
      <c r="M33" s="163"/>
      <c r="N33" s="165">
        <f t="shared" si="2"/>
        <v>0</v>
      </c>
      <c r="O33" s="167">
        <f t="shared" ca="1" si="3"/>
        <v>-6615.5714285714284</v>
      </c>
      <c r="P33" s="58">
        <v>0</v>
      </c>
      <c r="Q33" s="107">
        <v>0</v>
      </c>
      <c r="R33" s="251"/>
      <c r="S33" s="251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5.75" x14ac:dyDescent="0.25">
      <c r="A34" s="21" t="s">
        <v>33</v>
      </c>
      <c r="B34" s="32"/>
      <c r="C34" s="33"/>
      <c r="D34" s="202"/>
      <c r="E34" s="203"/>
      <c r="F34" s="138"/>
      <c r="G34" s="138"/>
      <c r="H34" s="138"/>
      <c r="I34" s="8"/>
      <c r="J34" s="8"/>
      <c r="K34" s="8"/>
      <c r="L34" s="163"/>
      <c r="M34" s="163"/>
      <c r="N34" s="165">
        <f t="shared" si="2"/>
        <v>0</v>
      </c>
      <c r="O34" s="167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9.5" customHeight="1" x14ac:dyDescent="0.25">
      <c r="A35" s="15"/>
      <c r="C35" s="16"/>
      <c r="D35" s="136"/>
      <c r="E35" s="136"/>
      <c r="F35" s="136"/>
      <c r="G35" s="136"/>
      <c r="H35" s="136"/>
      <c r="I35" s="15"/>
      <c r="J35" s="15"/>
      <c r="K35" s="15"/>
      <c r="L35" s="15"/>
      <c r="M35" s="15"/>
      <c r="N35" s="42"/>
      <c r="O35" s="42"/>
      <c r="P35" s="15"/>
      <c r="Q35" s="77">
        <f>SUM(Q12:Q34)</f>
        <v>0</v>
      </c>
      <c r="R35" s="19"/>
      <c r="S35" s="19"/>
      <c r="T35" s="3"/>
    </row>
    <row r="36" spans="1:35" x14ac:dyDescent="0.25">
      <c r="A36" s="15"/>
      <c r="C36" s="16"/>
      <c r="D36" s="136"/>
      <c r="E36" s="136"/>
      <c r="F36" s="136"/>
      <c r="G36" s="136"/>
      <c r="H36" s="136"/>
      <c r="I36" s="15"/>
      <c r="J36" s="15"/>
      <c r="K36" s="15"/>
      <c r="L36" s="15"/>
      <c r="M36" s="15"/>
      <c r="N36" s="42"/>
      <c r="O36" s="42"/>
      <c r="P36" s="15"/>
      <c r="Q36" s="15"/>
      <c r="R36" s="19"/>
      <c r="S36" s="19"/>
      <c r="T36" s="3"/>
    </row>
    <row r="37" spans="1:35" x14ac:dyDescent="0.25">
      <c r="A37" s="15"/>
      <c r="C37" s="16"/>
      <c r="D37" s="136"/>
      <c r="E37" s="136"/>
      <c r="F37" s="136"/>
      <c r="G37" s="136"/>
      <c r="H37" s="136"/>
      <c r="I37" s="15"/>
      <c r="J37" s="15"/>
      <c r="K37" s="15"/>
      <c r="L37" s="15"/>
      <c r="M37" s="15"/>
      <c r="N37" s="15"/>
      <c r="O37" s="15"/>
      <c r="P37" s="15"/>
      <c r="Q37" s="15"/>
      <c r="R37" s="19"/>
      <c r="S37" s="19"/>
      <c r="T37" s="3"/>
    </row>
    <row r="38" spans="1:35" x14ac:dyDescent="0.25">
      <c r="C38" s="1"/>
      <c r="D38" s="139"/>
      <c r="E38" s="139"/>
      <c r="F38" s="139"/>
      <c r="G38" s="139"/>
      <c r="H38" s="139"/>
      <c r="R38" s="3"/>
      <c r="S38" s="3"/>
      <c r="T38" s="3"/>
    </row>
    <row r="39" spans="1:35" x14ac:dyDescent="0.25">
      <c r="C39" s="1"/>
      <c r="D39" s="139"/>
      <c r="E39" s="139"/>
      <c r="F39" s="139"/>
      <c r="G39" s="139"/>
      <c r="H39" s="139"/>
      <c r="R39" s="3"/>
      <c r="S39" s="3"/>
      <c r="T39" s="3"/>
    </row>
    <row r="40" spans="1:35" x14ac:dyDescent="0.25">
      <c r="C40" s="1"/>
      <c r="D40" s="139"/>
      <c r="E40" s="139"/>
      <c r="F40" s="139"/>
      <c r="G40" s="139"/>
      <c r="H40" s="139"/>
      <c r="R40" s="3"/>
      <c r="S40" s="3"/>
      <c r="T40" s="3"/>
    </row>
    <row r="41" spans="1:35" x14ac:dyDescent="0.25">
      <c r="C41" s="1"/>
      <c r="D41" s="139"/>
      <c r="E41" s="139"/>
      <c r="F41" s="139"/>
      <c r="G41" s="139"/>
      <c r="H41" s="139"/>
      <c r="R41" s="3"/>
      <c r="S41" s="3"/>
      <c r="T41" s="3"/>
    </row>
    <row r="42" spans="1:35" x14ac:dyDescent="0.25">
      <c r="C42" s="1"/>
      <c r="D42" s="139"/>
      <c r="E42" s="139"/>
      <c r="F42" s="139"/>
      <c r="G42" s="139"/>
      <c r="H42" s="139"/>
      <c r="R42" s="3"/>
      <c r="S42" s="3"/>
      <c r="T42" s="3"/>
    </row>
    <row r="43" spans="1:35" x14ac:dyDescent="0.25">
      <c r="C43" s="1"/>
      <c r="D43" s="139"/>
      <c r="E43" s="139"/>
      <c r="F43" s="139"/>
      <c r="G43" s="139"/>
      <c r="H43" s="139"/>
      <c r="R43" s="3"/>
      <c r="S43" s="3"/>
      <c r="T43" s="3"/>
    </row>
  </sheetData>
  <sheetProtection password="CE28" sheet="1" objects="1" scenarios="1"/>
  <mergeCells count="66">
    <mergeCell ref="R32:S32"/>
    <mergeCell ref="R33:S33"/>
    <mergeCell ref="R34:S34"/>
    <mergeCell ref="R26:S26"/>
    <mergeCell ref="R27:S27"/>
    <mergeCell ref="R28:S28"/>
    <mergeCell ref="R29:S29"/>
    <mergeCell ref="R30:S30"/>
    <mergeCell ref="R22:S22"/>
    <mergeCell ref="R23:S23"/>
    <mergeCell ref="R24:S24"/>
    <mergeCell ref="R25:S25"/>
    <mergeCell ref="R31:S31"/>
    <mergeCell ref="R17:S17"/>
    <mergeCell ref="R18:S18"/>
    <mergeCell ref="R19:S19"/>
    <mergeCell ref="R20:S20"/>
    <mergeCell ref="R21:S21"/>
    <mergeCell ref="R12:S12"/>
    <mergeCell ref="R13:S13"/>
    <mergeCell ref="R14:S14"/>
    <mergeCell ref="R15:S15"/>
    <mergeCell ref="R16:S16"/>
    <mergeCell ref="C2:D2"/>
    <mergeCell ref="C4:D5"/>
    <mergeCell ref="E4:F5"/>
    <mergeCell ref="D11:E11"/>
    <mergeCell ref="R10:S11"/>
    <mergeCell ref="C3:D3"/>
    <mergeCell ref="E3:F3"/>
    <mergeCell ref="K10:K11"/>
    <mergeCell ref="J10:J11"/>
    <mergeCell ref="I10:I11"/>
    <mergeCell ref="E6:F6"/>
    <mergeCell ref="C6:D6"/>
    <mergeCell ref="F9:H9"/>
    <mergeCell ref="C7:D8"/>
    <mergeCell ref="E7:F8"/>
    <mergeCell ref="D13:E13"/>
    <mergeCell ref="D14:E14"/>
    <mergeCell ref="P10:Q10"/>
    <mergeCell ref="D26:E26"/>
    <mergeCell ref="D15:E15"/>
    <mergeCell ref="D16:E16"/>
    <mergeCell ref="D18:E18"/>
    <mergeCell ref="O10:O11"/>
    <mergeCell ref="N10:N11"/>
    <mergeCell ref="M10:M11"/>
    <mergeCell ref="L10:L11"/>
    <mergeCell ref="D12:E12"/>
    <mergeCell ref="A1:S1"/>
    <mergeCell ref="D34:E34"/>
    <mergeCell ref="G10:H10"/>
    <mergeCell ref="F10:F11"/>
    <mergeCell ref="D27:E27"/>
    <mergeCell ref="D28:E28"/>
    <mergeCell ref="D30:E30"/>
    <mergeCell ref="D31:E31"/>
    <mergeCell ref="D32:E32"/>
    <mergeCell ref="D21:E21"/>
    <mergeCell ref="D22:E22"/>
    <mergeCell ref="D24:E24"/>
    <mergeCell ref="D25:E25"/>
    <mergeCell ref="D33:E33"/>
    <mergeCell ref="D19:E19"/>
    <mergeCell ref="D20:E20"/>
  </mergeCells>
  <conditionalFormatting sqref="B10:B12 A10:A34 D10:O34 C12:C34 B17:B34">
    <cfRule type="expression" dxfId="205" priority="743">
      <formula>$A10=$U$6</formula>
    </cfRule>
    <cfRule type="expression" dxfId="204" priority="740">
      <formula>$A10=$U$3</formula>
    </cfRule>
    <cfRule type="expression" dxfId="203" priority="741">
      <formula>$A10=$U$4</formula>
    </cfRule>
    <cfRule type="expression" dxfId="202" priority="742">
      <formula>$A10=$U$5</formula>
    </cfRule>
  </conditionalFormatting>
  <conditionalFormatting sqref="B17 D17:K17 N17:O17 B23 D23:K23 N23:O23 B28:B29 D29:K29 N29:O29">
    <cfRule type="expression" dxfId="201" priority="605">
      <formula>#REF!=$U$6</formula>
    </cfRule>
    <cfRule type="expression" dxfId="200" priority="614">
      <formula>#REF!=$U$5</formula>
    </cfRule>
  </conditionalFormatting>
  <conditionalFormatting sqref="B17 D17:K17 N17:O17 B23 D23:K23 N23:O23 B29 D29:K29 N29:O29">
    <cfRule type="expression" dxfId="199" priority="165">
      <formula>#REF!=$U$3</formula>
    </cfRule>
    <cfRule type="expression" dxfId="198" priority="548">
      <formula>#REF!=$U$4</formula>
    </cfRule>
  </conditionalFormatting>
  <conditionalFormatting sqref="C11">
    <cfRule type="expression" dxfId="197" priority="624">
      <formula>$A10=$U$7</formula>
    </cfRule>
    <cfRule type="expression" dxfId="196" priority="696">
      <formula>$A10=$U$6</formula>
    </cfRule>
    <cfRule type="expression" dxfId="195" priority="695">
      <formula>$A10=$U$5</formula>
    </cfRule>
    <cfRule type="expression" dxfId="194" priority="694">
      <formula>$A10=$U$4</formula>
    </cfRule>
    <cfRule type="expression" dxfId="193" priority="693">
      <formula>$A10=$U$3</formula>
    </cfRule>
  </conditionalFormatting>
  <conditionalFormatting sqref="D10:O34 B17:B34 B10:B12 A10:A34 C12:C34">
    <cfRule type="expression" dxfId="192" priority="739">
      <formula>$A10=$U$7</formula>
    </cfRule>
  </conditionalFormatting>
  <conditionalFormatting sqref="D17:O17 D23:O23 D29:O29">
    <cfRule type="expression" dxfId="191" priority="664">
      <formula>#REF!=$U$6</formula>
    </cfRule>
    <cfRule type="expression" dxfId="190" priority="665">
      <formula>#REF!=$U$5</formula>
    </cfRule>
    <cfRule type="expression" dxfId="189" priority="666">
      <formula>#REF!=$U$4</formula>
    </cfRule>
    <cfRule type="expression" dxfId="188" priority="677">
      <formula>#REF!=$U$3</formula>
    </cfRule>
    <cfRule type="expression" dxfId="187" priority="678">
      <formula>#REF!=$U$4</formula>
    </cfRule>
    <cfRule type="expression" dxfId="186" priority="679">
      <formula>#REF!=$U$5</formula>
    </cfRule>
    <cfRule type="expression" dxfId="185" priority="680">
      <formula>#REF!=$U$6</formula>
    </cfRule>
    <cfRule type="expression" dxfId="184" priority="662">
      <formula>#REF!=$U$7</formula>
    </cfRule>
    <cfRule type="expression" dxfId="183" priority="663">
      <formula>#REF!=$U$3</formula>
    </cfRule>
  </conditionalFormatting>
  <conditionalFormatting sqref="G10">
    <cfRule type="expression" dxfId="182" priority="691">
      <formula>$A11=$U$4</formula>
    </cfRule>
    <cfRule type="expression" dxfId="181" priority="692">
      <formula>$A11=$U$3</formula>
    </cfRule>
    <cfRule type="expression" dxfId="180" priority="689">
      <formula>$A11=$U$6</formula>
    </cfRule>
    <cfRule type="expression" dxfId="179" priority="690">
      <formula>$A11=$U$5</formula>
    </cfRule>
  </conditionalFormatting>
  <conditionalFormatting sqref="L16:N16 L22:N22 B28 D28:N28 B34 D34:N34">
    <cfRule type="expression" dxfId="178" priority="632">
      <formula>#REF!=$U$3</formula>
    </cfRule>
  </conditionalFormatting>
  <conditionalFormatting sqref="L16:N16 L22:N22 D28:N28 B34 D34:N34 B28">
    <cfRule type="expression" dxfId="177" priority="631">
      <formula>#REF!=$U$4</formula>
    </cfRule>
  </conditionalFormatting>
  <conditionalFormatting sqref="L16:N16 L22:N22 D28:N28 B34 D34:N34">
    <cfRule type="expression" dxfId="176" priority="630">
      <formula>#REF!=$U$5</formula>
    </cfRule>
    <cfRule type="expression" dxfId="175" priority="629">
      <formula>#REF!=$U$6</formula>
    </cfRule>
  </conditionalFormatting>
  <conditionalFormatting sqref="U2:U6">
    <cfRule type="colorScale" priority="49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69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6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4">
    <dataValidation type="date" allowBlank="1" showInputMessage="1" showErrorMessage="1" sqref="L12:L16 L24:L28 L18:L22 L30:L34" xr:uid="{00000000-0002-0000-0100-000000000000}">
      <formula1>L12</formula1>
      <formula2>M12</formula2>
    </dataValidation>
    <dataValidation type="list" showInputMessage="1" showErrorMessage="1" sqref="A12:A16 A24:A28 A30:A34 A18:A22" xr:uid="{00000000-0002-0000-0100-000001000000}">
      <formula1>$U$2:$U$7</formula1>
    </dataValidation>
    <dataValidation type="list" showInputMessage="1" showErrorMessage="1" sqref="B18 B12 B30 B24" xr:uid="{00000000-0002-0000-0100-000002000000}">
      <formula1>$V$2:$V$5</formula1>
    </dataValidation>
    <dataValidation type="list" showInputMessage="1" showErrorMessage="1" sqref="B3" xr:uid="{00000000-0002-0000-0100-000003000000}">
      <formula1>$W$2:$W$10</formula1>
    </dataValidation>
  </dataValidation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AD44"/>
  <sheetViews>
    <sheetView topLeftCell="H1" zoomScale="85" zoomScaleNormal="85" workbookViewId="0">
      <pane ySplit="11" topLeftCell="A18" activePane="bottomLeft" state="frozen"/>
      <selection pane="bottomLeft" activeCell="Q26" sqref="Q26"/>
    </sheetView>
  </sheetViews>
  <sheetFormatPr baseColWidth="10" defaultRowHeight="15" x14ac:dyDescent="0.25"/>
  <cols>
    <col min="1" max="1" width="16.7109375" style="2" customWidth="1"/>
    <col min="2" max="2" width="16.140625" style="28" customWidth="1"/>
    <col min="3" max="3" width="13.28515625" style="2" customWidth="1"/>
    <col min="4" max="4" width="53.140625" style="2" customWidth="1"/>
    <col min="5" max="5" width="26.140625" style="2" customWidth="1"/>
    <col min="6" max="6" width="56.85546875" style="2" customWidth="1"/>
    <col min="7" max="7" width="34.42578125" style="2" customWidth="1"/>
    <col min="8" max="8" width="32" style="2" customWidth="1"/>
    <col min="9" max="9" width="18" style="2" customWidth="1"/>
    <col min="10" max="10" width="12.140625" style="2" customWidth="1"/>
    <col min="11" max="11" width="13.7109375" style="2" customWidth="1"/>
    <col min="12" max="13" width="11.42578125" style="2"/>
    <col min="14" max="14" width="10.85546875" style="2" customWidth="1"/>
    <col min="15" max="15" width="18" style="2" customWidth="1"/>
    <col min="16" max="16" width="15.42578125" style="2" customWidth="1"/>
    <col min="17" max="17" width="15.28515625" style="2" customWidth="1"/>
    <col min="18" max="18" width="26.140625" style="2" customWidth="1"/>
    <col min="19" max="19" width="31.140625" style="2" customWidth="1"/>
    <col min="20" max="20" width="11.42578125" style="2"/>
    <col min="21" max="21" width="15.7109375" style="2" hidden="1" customWidth="1"/>
    <col min="22" max="22" width="16.140625" style="2" hidden="1" customWidth="1"/>
    <col min="23" max="23" width="17.28515625" style="2" hidden="1" customWidth="1"/>
    <col min="24" max="16384" width="11.42578125" style="2"/>
  </cols>
  <sheetData>
    <row r="1" spans="1:30" ht="20.25" customHeight="1" x14ac:dyDescent="0.25">
      <c r="A1" s="252" t="s">
        <v>97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4"/>
      <c r="U1" s="4"/>
    </row>
    <row r="2" spans="1:30" ht="21" customHeight="1" x14ac:dyDescent="0.25">
      <c r="A2" s="159" t="s">
        <v>98</v>
      </c>
      <c r="B2" s="124">
        <v>45749</v>
      </c>
      <c r="C2" s="254" t="s">
        <v>99</v>
      </c>
      <c r="D2" s="255"/>
      <c r="E2" s="174" t="s">
        <v>44</v>
      </c>
      <c r="F2" s="175"/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33</v>
      </c>
      <c r="V2" s="27" t="s">
        <v>106</v>
      </c>
      <c r="W2" s="11" t="s">
        <v>38</v>
      </c>
    </row>
    <row r="3" spans="1:30" ht="19.5" thickBot="1" x14ac:dyDescent="0.3">
      <c r="A3" s="161" t="s">
        <v>0</v>
      </c>
      <c r="B3" s="91" t="s">
        <v>29</v>
      </c>
      <c r="C3" s="235" t="s">
        <v>39</v>
      </c>
      <c r="D3" s="236"/>
      <c r="E3" s="235" t="s">
        <v>43</v>
      </c>
      <c r="F3" s="237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3" t="s">
        <v>15</v>
      </c>
      <c r="W3" s="13" t="s">
        <v>25</v>
      </c>
    </row>
    <row r="4" spans="1:30" ht="18" customHeight="1" thickTop="1" x14ac:dyDescent="0.25">
      <c r="A4" s="71" t="s">
        <v>40</v>
      </c>
      <c r="B4" s="19"/>
      <c r="C4" s="221"/>
      <c r="D4" s="222"/>
      <c r="E4" s="225"/>
      <c r="F4" s="226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3" t="s">
        <v>22</v>
      </c>
      <c r="W4" s="13" t="s">
        <v>30</v>
      </c>
    </row>
    <row r="5" spans="1:30" ht="14.25" customHeight="1" x14ac:dyDescent="0.25">
      <c r="A5" s="72"/>
      <c r="B5" s="73"/>
      <c r="C5" s="223"/>
      <c r="D5" s="224"/>
      <c r="E5" s="227"/>
      <c r="F5" s="22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3" t="s">
        <v>16</v>
      </c>
      <c r="W5" s="13" t="s">
        <v>27</v>
      </c>
      <c r="X5" s="12"/>
    </row>
    <row r="6" spans="1:30" ht="15.75" x14ac:dyDescent="0.25">
      <c r="A6" s="72"/>
      <c r="B6" s="73"/>
      <c r="C6" s="245" t="s">
        <v>45</v>
      </c>
      <c r="D6" s="246"/>
      <c r="E6" s="243" t="s">
        <v>46</v>
      </c>
      <c r="F6" s="244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3"/>
      <c r="W6" s="13" t="s">
        <v>28</v>
      </c>
      <c r="X6" s="12"/>
    </row>
    <row r="7" spans="1:30" ht="15.75" x14ac:dyDescent="0.25">
      <c r="A7" s="72"/>
      <c r="B7" s="73"/>
      <c r="C7" s="257"/>
      <c r="D7" s="250"/>
      <c r="E7" s="259"/>
      <c r="F7" s="22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V7" s="14"/>
      <c r="W7" s="13" t="s">
        <v>31</v>
      </c>
      <c r="X7" s="12"/>
    </row>
    <row r="8" spans="1:30" ht="14.25" customHeight="1" x14ac:dyDescent="0.25">
      <c r="A8" s="72"/>
      <c r="B8" s="73"/>
      <c r="C8" s="258"/>
      <c r="D8" s="227"/>
      <c r="E8" s="258"/>
      <c r="F8" s="2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V8" s="14"/>
      <c r="W8" s="13" t="s">
        <v>26</v>
      </c>
      <c r="X8" s="12"/>
    </row>
    <row r="9" spans="1:30" ht="15.75" x14ac:dyDescent="0.25">
      <c r="A9" s="72"/>
      <c r="B9" s="73"/>
      <c r="C9" s="103"/>
      <c r="D9" s="104"/>
      <c r="E9" s="104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V9" s="14"/>
      <c r="W9" s="13" t="s">
        <v>29</v>
      </c>
      <c r="X9" s="12"/>
    </row>
    <row r="10" spans="1:30" x14ac:dyDescent="0.25">
      <c r="A10" s="105"/>
      <c r="B10" s="15"/>
      <c r="D10" s="93"/>
      <c r="E10" s="94"/>
      <c r="F10" s="204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5" t="s">
        <v>3</v>
      </c>
      <c r="M10" s="215" t="s">
        <v>4</v>
      </c>
      <c r="N10" s="213" t="s">
        <v>14</v>
      </c>
      <c r="O10" s="213" t="s">
        <v>10</v>
      </c>
      <c r="P10" s="210" t="s">
        <v>2</v>
      </c>
      <c r="Q10" s="210"/>
      <c r="R10" s="231" t="s">
        <v>96</v>
      </c>
      <c r="S10" s="232"/>
      <c r="X10" s="12"/>
    </row>
    <row r="11" spans="1:30" ht="26.25" customHeight="1" x14ac:dyDescent="0.25">
      <c r="A11" s="101" t="s">
        <v>11</v>
      </c>
      <c r="B11" s="92" t="s">
        <v>107</v>
      </c>
      <c r="C11" s="130" t="s">
        <v>101</v>
      </c>
      <c r="D11" s="229" t="s">
        <v>36</v>
      </c>
      <c r="E11" s="230"/>
      <c r="F11" s="256"/>
      <c r="G11" s="95" t="s">
        <v>23</v>
      </c>
      <c r="H11" s="96" t="s">
        <v>24</v>
      </c>
      <c r="I11" s="242"/>
      <c r="J11" s="240"/>
      <c r="K11" s="239"/>
      <c r="L11" s="216"/>
      <c r="M11" s="216"/>
      <c r="N11" s="214"/>
      <c r="O11" s="214"/>
      <c r="P11" s="97" t="s">
        <v>12</v>
      </c>
      <c r="Q11" s="106" t="s">
        <v>13</v>
      </c>
      <c r="R11" s="233"/>
      <c r="S11" s="234"/>
      <c r="X11" s="12"/>
    </row>
    <row r="12" spans="1:30" ht="15.75" x14ac:dyDescent="0.25">
      <c r="A12" s="23" t="s">
        <v>33</v>
      </c>
      <c r="B12" s="35" t="s">
        <v>106</v>
      </c>
      <c r="C12" s="37"/>
      <c r="D12" s="217"/>
      <c r="E12" s="218"/>
      <c r="F12" s="137"/>
      <c r="G12" s="137"/>
      <c r="H12" s="137"/>
      <c r="I12" s="137"/>
      <c r="J12" s="5"/>
      <c r="K12" s="5"/>
      <c r="L12" s="162"/>
      <c r="M12" s="162"/>
      <c r="N12" s="165">
        <f>(M12-L12)/7</f>
        <v>0</v>
      </c>
      <c r="O12" s="166">
        <f ca="1">(M12-TODAY())/7</f>
        <v>-6615.5714285714284</v>
      </c>
      <c r="P12" s="58">
        <v>0</v>
      </c>
      <c r="Q12" s="58">
        <v>0</v>
      </c>
      <c r="R12" s="251"/>
      <c r="S12" s="251"/>
      <c r="X12" s="13"/>
      <c r="Y12" s="6"/>
      <c r="Z12" s="6"/>
      <c r="AA12" s="6"/>
      <c r="AB12" s="6"/>
      <c r="AC12" s="6"/>
      <c r="AD12" s="6"/>
    </row>
    <row r="13" spans="1:30" ht="15.75" x14ac:dyDescent="0.25">
      <c r="A13" s="22" t="s">
        <v>33</v>
      </c>
      <c r="B13" s="99"/>
      <c r="C13" s="38"/>
      <c r="D13" s="208"/>
      <c r="E13" s="209"/>
      <c r="F13" s="138"/>
      <c r="G13" s="138"/>
      <c r="H13" s="138"/>
      <c r="I13" s="138"/>
      <c r="J13" s="8"/>
      <c r="K13" s="8"/>
      <c r="L13" s="163"/>
      <c r="M13" s="163"/>
      <c r="N13" s="165">
        <f t="shared" ref="N13:N28" si="0">(M13-L13)/7</f>
        <v>0</v>
      </c>
      <c r="O13" s="167">
        <f ca="1">(M13-TODAY())/7</f>
        <v>-6615.5714285714284</v>
      </c>
      <c r="P13" s="58">
        <v>0</v>
      </c>
      <c r="Q13" s="107">
        <v>0</v>
      </c>
      <c r="R13" s="251"/>
      <c r="S13" s="251"/>
      <c r="X13" s="13"/>
      <c r="Y13" s="6"/>
      <c r="Z13" s="6"/>
      <c r="AA13" s="6"/>
      <c r="AB13" s="6"/>
      <c r="AC13" s="6"/>
      <c r="AD13" s="6"/>
    </row>
    <row r="14" spans="1:30" ht="15.75" x14ac:dyDescent="0.25">
      <c r="A14" s="21" t="s">
        <v>33</v>
      </c>
      <c r="B14" s="99"/>
      <c r="C14" s="38"/>
      <c r="D14" s="208"/>
      <c r="E14" s="209"/>
      <c r="F14" s="138"/>
      <c r="G14" s="138"/>
      <c r="H14" s="138"/>
      <c r="I14" s="138"/>
      <c r="J14" s="8"/>
      <c r="K14" s="8"/>
      <c r="L14" s="163"/>
      <c r="M14" s="163"/>
      <c r="N14" s="165">
        <f t="shared" si="0"/>
        <v>0</v>
      </c>
      <c r="O14" s="167">
        <f ca="1">(M14-TODAY())/7</f>
        <v>-6615.5714285714284</v>
      </c>
      <c r="P14" s="58">
        <v>0</v>
      </c>
      <c r="Q14" s="107">
        <v>0</v>
      </c>
      <c r="R14" s="251"/>
      <c r="S14" s="251"/>
      <c r="T14" s="6"/>
      <c r="U14" s="6"/>
      <c r="V14" s="7"/>
      <c r="W14" s="6"/>
      <c r="X14" s="6"/>
      <c r="Y14" s="6"/>
      <c r="Z14" s="6"/>
      <c r="AA14" s="6"/>
      <c r="AB14" s="6"/>
      <c r="AC14" s="6"/>
      <c r="AD14" s="6"/>
    </row>
    <row r="15" spans="1:30" ht="15.75" x14ac:dyDescent="0.25">
      <c r="A15" s="21" t="s">
        <v>33</v>
      </c>
      <c r="B15" s="99"/>
      <c r="C15" s="38"/>
      <c r="D15" s="208"/>
      <c r="E15" s="209"/>
      <c r="F15" s="138"/>
      <c r="G15" s="138"/>
      <c r="H15" s="138"/>
      <c r="I15" s="138"/>
      <c r="J15" s="8"/>
      <c r="K15" s="8"/>
      <c r="L15" s="163"/>
      <c r="M15" s="163"/>
      <c r="N15" s="165">
        <f t="shared" si="0"/>
        <v>0</v>
      </c>
      <c r="O15" s="167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  <c r="Y15" s="6"/>
      <c r="Z15" s="6"/>
      <c r="AA15" s="6"/>
      <c r="AB15" s="6"/>
      <c r="AC15" s="6"/>
      <c r="AD15" s="6"/>
    </row>
    <row r="16" spans="1:30" ht="15.75" x14ac:dyDescent="0.25">
      <c r="A16" s="122" t="s">
        <v>33</v>
      </c>
      <c r="B16" s="123"/>
      <c r="C16" s="38"/>
      <c r="D16" s="202"/>
      <c r="E16" s="203"/>
      <c r="F16" s="138"/>
      <c r="G16" s="138"/>
      <c r="H16" s="138"/>
      <c r="I16" s="138"/>
      <c r="J16" s="8"/>
      <c r="K16" s="8"/>
      <c r="L16" s="163"/>
      <c r="M16" s="163"/>
      <c r="N16" s="165">
        <f t="shared" si="0"/>
        <v>0</v>
      </c>
      <c r="O16" s="167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0.75" customHeight="1" x14ac:dyDescent="0.25">
      <c r="A17" s="41"/>
      <c r="B17" s="31"/>
      <c r="C17" s="34"/>
      <c r="D17" s="135"/>
      <c r="E17" s="135"/>
      <c r="F17" s="135"/>
      <c r="G17" s="135"/>
      <c r="H17" s="135"/>
      <c r="I17" s="135"/>
      <c r="J17" s="9"/>
      <c r="K17" s="9"/>
      <c r="L17" s="164"/>
      <c r="M17" s="164"/>
      <c r="N17" s="168"/>
      <c r="O17" s="169"/>
      <c r="P17" s="58">
        <v>0</v>
      </c>
      <c r="Q17" s="107"/>
      <c r="R17" s="251"/>
      <c r="S17" s="251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5.75" x14ac:dyDescent="0.25">
      <c r="A18" s="21" t="s">
        <v>33</v>
      </c>
      <c r="B18" s="39" t="s">
        <v>106</v>
      </c>
      <c r="C18" s="38"/>
      <c r="D18" s="202"/>
      <c r="E18" s="203"/>
      <c r="F18" s="138"/>
      <c r="G18" s="138"/>
      <c r="H18" s="138"/>
      <c r="I18" s="138"/>
      <c r="J18" s="8"/>
      <c r="K18" s="8"/>
      <c r="L18" s="163"/>
      <c r="M18" s="163"/>
      <c r="N18" s="165">
        <f t="shared" si="0"/>
        <v>0</v>
      </c>
      <c r="O18" s="167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5.75" x14ac:dyDescent="0.25">
      <c r="A19" s="21" t="s">
        <v>33</v>
      </c>
      <c r="B19" s="40"/>
      <c r="C19" s="38"/>
      <c r="D19" s="202"/>
      <c r="E19" s="203"/>
      <c r="F19" s="138"/>
      <c r="G19" s="138"/>
      <c r="H19" s="138"/>
      <c r="I19" s="138"/>
      <c r="J19" s="8"/>
      <c r="K19" s="8"/>
      <c r="L19" s="163"/>
      <c r="M19" s="163"/>
      <c r="N19" s="165">
        <f t="shared" si="0"/>
        <v>0</v>
      </c>
      <c r="O19" s="167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5.75" x14ac:dyDescent="0.25">
      <c r="A20" s="25" t="s">
        <v>33</v>
      </c>
      <c r="B20" s="40"/>
      <c r="C20" s="38"/>
      <c r="D20" s="202"/>
      <c r="E20" s="203"/>
      <c r="F20" s="138"/>
      <c r="G20" s="138"/>
      <c r="H20" s="138"/>
      <c r="I20" s="138"/>
      <c r="J20" s="8"/>
      <c r="K20" s="8"/>
      <c r="L20" s="163"/>
      <c r="M20" s="163"/>
      <c r="N20" s="165">
        <f t="shared" si="0"/>
        <v>0</v>
      </c>
      <c r="O20" s="167">
        <f t="shared" ca="1" si="1"/>
        <v>-6615.5714285714284</v>
      </c>
      <c r="P20" s="58">
        <v>0</v>
      </c>
      <c r="Q20" s="107">
        <v>0</v>
      </c>
      <c r="R20" s="251"/>
      <c r="S20" s="251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5.75" x14ac:dyDescent="0.25">
      <c r="A21" s="25" t="s">
        <v>33</v>
      </c>
      <c r="B21" s="40"/>
      <c r="C21" s="38"/>
      <c r="D21" s="202"/>
      <c r="E21" s="203"/>
      <c r="F21" s="138"/>
      <c r="G21" s="138"/>
      <c r="H21" s="138"/>
      <c r="I21" s="138"/>
      <c r="J21" s="8"/>
      <c r="K21" s="8"/>
      <c r="L21" s="163"/>
      <c r="M21" s="163"/>
      <c r="N21" s="165">
        <f t="shared" si="0"/>
        <v>0</v>
      </c>
      <c r="O21" s="167">
        <f t="shared" ca="1" si="1"/>
        <v>-6615.5714285714284</v>
      </c>
      <c r="P21" s="58">
        <v>0</v>
      </c>
      <c r="Q21" s="107">
        <v>0</v>
      </c>
      <c r="R21" s="251"/>
      <c r="S21" s="251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5.75" x14ac:dyDescent="0.25">
      <c r="A22" s="25" t="s">
        <v>33</v>
      </c>
      <c r="B22" s="40"/>
      <c r="C22" s="38"/>
      <c r="D22" s="202"/>
      <c r="E22" s="203"/>
      <c r="F22" s="138"/>
      <c r="G22" s="138"/>
      <c r="H22" s="138"/>
      <c r="I22" s="138"/>
      <c r="J22" s="8"/>
      <c r="K22" s="8"/>
      <c r="L22" s="163"/>
      <c r="M22" s="163"/>
      <c r="N22" s="165">
        <f t="shared" si="0"/>
        <v>0</v>
      </c>
      <c r="O22" s="167">
        <f ca="1">(M22-TODAY())/7</f>
        <v>-6615.5714285714284</v>
      </c>
      <c r="P22" s="58">
        <v>0</v>
      </c>
      <c r="Q22" s="107">
        <v>0</v>
      </c>
      <c r="R22" s="251"/>
      <c r="S22" s="251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0.75" customHeight="1" x14ac:dyDescent="0.25">
      <c r="A23" s="24"/>
      <c r="B23" s="31"/>
      <c r="C23" s="34"/>
      <c r="D23" s="135"/>
      <c r="E23" s="135"/>
      <c r="F23" s="135"/>
      <c r="G23" s="135"/>
      <c r="H23" s="135"/>
      <c r="I23" s="135"/>
      <c r="J23" s="9"/>
      <c r="K23" s="9"/>
      <c r="L23" s="164"/>
      <c r="M23" s="164"/>
      <c r="N23" s="168"/>
      <c r="O23" s="169"/>
      <c r="P23" s="58">
        <v>0</v>
      </c>
      <c r="Q23" s="107"/>
      <c r="R23" s="251"/>
      <c r="S23" s="251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x14ac:dyDescent="0.25">
      <c r="A24" s="21" t="s">
        <v>33</v>
      </c>
      <c r="B24" s="35" t="s">
        <v>106</v>
      </c>
      <c r="C24" s="38"/>
      <c r="D24" s="202"/>
      <c r="E24" s="203"/>
      <c r="F24" s="138"/>
      <c r="G24" s="138"/>
      <c r="H24" s="138"/>
      <c r="I24" s="138"/>
      <c r="J24" s="8"/>
      <c r="K24" s="8"/>
      <c r="L24" s="163"/>
      <c r="M24" s="163"/>
      <c r="N24" s="165">
        <f t="shared" si="0"/>
        <v>0</v>
      </c>
      <c r="O24" s="167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5.75" x14ac:dyDescent="0.25">
      <c r="A25" s="21" t="s">
        <v>33</v>
      </c>
      <c r="B25" s="20"/>
      <c r="C25" s="38"/>
      <c r="D25" s="202"/>
      <c r="E25" s="203"/>
      <c r="F25" s="138"/>
      <c r="G25" s="138"/>
      <c r="H25" s="138"/>
      <c r="I25" s="138"/>
      <c r="J25" s="8"/>
      <c r="K25" s="8"/>
      <c r="L25" s="163"/>
      <c r="M25" s="163"/>
      <c r="N25" s="165">
        <f t="shared" si="0"/>
        <v>0</v>
      </c>
      <c r="O25" s="167">
        <f t="shared" ca="1" si="1"/>
        <v>-6615.5714285714284</v>
      </c>
      <c r="P25" s="58">
        <v>0</v>
      </c>
      <c r="Q25" s="107">
        <v>0</v>
      </c>
      <c r="R25" s="251"/>
      <c r="S25" s="251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5.75" x14ac:dyDescent="0.25">
      <c r="A26" s="21" t="s">
        <v>33</v>
      </c>
      <c r="B26" s="20"/>
      <c r="C26" s="38"/>
      <c r="D26" s="202"/>
      <c r="E26" s="203"/>
      <c r="F26" s="138"/>
      <c r="G26" s="138"/>
      <c r="H26" s="138"/>
      <c r="I26" s="138"/>
      <c r="J26" s="8"/>
      <c r="K26" s="8"/>
      <c r="L26" s="163"/>
      <c r="M26" s="163"/>
      <c r="N26" s="165">
        <f t="shared" si="0"/>
        <v>0</v>
      </c>
      <c r="O26" s="167">
        <f t="shared" ca="1" si="1"/>
        <v>-6615.5714285714284</v>
      </c>
      <c r="P26" s="58">
        <v>0</v>
      </c>
      <c r="Q26" s="107">
        <v>0</v>
      </c>
      <c r="R26" s="251"/>
      <c r="S26" s="251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5.75" x14ac:dyDescent="0.25">
      <c r="A27" s="21" t="s">
        <v>33</v>
      </c>
      <c r="B27" s="20"/>
      <c r="C27" s="38"/>
      <c r="D27" s="202"/>
      <c r="E27" s="203"/>
      <c r="F27" s="138"/>
      <c r="G27" s="138"/>
      <c r="H27" s="138"/>
      <c r="I27" s="138"/>
      <c r="J27" s="8"/>
      <c r="K27" s="8"/>
      <c r="L27" s="163"/>
      <c r="M27" s="163"/>
      <c r="N27" s="165">
        <f t="shared" si="0"/>
        <v>0</v>
      </c>
      <c r="O27" s="167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.75" x14ac:dyDescent="0.25">
      <c r="A28" s="21" t="s">
        <v>33</v>
      </c>
      <c r="B28" s="32"/>
      <c r="C28" s="3"/>
      <c r="D28" s="202"/>
      <c r="E28" s="203"/>
      <c r="F28" s="138"/>
      <c r="G28" s="138"/>
      <c r="H28" s="138"/>
      <c r="I28" s="138"/>
      <c r="J28" s="8"/>
      <c r="K28" s="8"/>
      <c r="L28" s="163"/>
      <c r="M28" s="163"/>
      <c r="N28" s="165">
        <f t="shared" si="0"/>
        <v>0</v>
      </c>
      <c r="O28" s="167">
        <f t="shared" ca="1" si="1"/>
        <v>-6615.5714285714284</v>
      </c>
      <c r="P28" s="58">
        <v>0</v>
      </c>
      <c r="Q28" s="107">
        <v>0</v>
      </c>
      <c r="R28" s="251"/>
      <c r="S28" s="251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0.75" customHeight="1" x14ac:dyDescent="0.25">
      <c r="A29" s="24"/>
      <c r="B29" s="31"/>
      <c r="C29" s="34"/>
      <c r="D29" s="135"/>
      <c r="E29" s="135"/>
      <c r="F29" s="135"/>
      <c r="G29" s="135"/>
      <c r="H29" s="135"/>
      <c r="I29" s="135"/>
      <c r="J29" s="9"/>
      <c r="K29" s="9"/>
      <c r="L29" s="164"/>
      <c r="M29" s="164"/>
      <c r="N29" s="168"/>
      <c r="O29" s="169"/>
      <c r="P29" s="58">
        <v>0</v>
      </c>
      <c r="Q29" s="107"/>
      <c r="R29" s="251"/>
      <c r="S29" s="251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5.75" x14ac:dyDescent="0.25">
      <c r="A30" s="21" t="s">
        <v>33</v>
      </c>
      <c r="B30" s="35" t="s">
        <v>106</v>
      </c>
      <c r="C30" s="33"/>
      <c r="D30" s="202"/>
      <c r="E30" s="203"/>
      <c r="F30" s="138"/>
      <c r="G30" s="138"/>
      <c r="H30" s="138"/>
      <c r="I30" s="138"/>
      <c r="J30" s="8"/>
      <c r="K30" s="8"/>
      <c r="L30" s="163"/>
      <c r="M30" s="163"/>
      <c r="N30" s="165">
        <f t="shared" ref="N30:N34" si="2">(M30-L30)/7</f>
        <v>0</v>
      </c>
      <c r="O30" s="167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.75" x14ac:dyDescent="0.25">
      <c r="A31" s="21" t="s">
        <v>33</v>
      </c>
      <c r="B31" s="20"/>
      <c r="C31" s="33"/>
      <c r="D31" s="202"/>
      <c r="E31" s="203"/>
      <c r="F31" s="138"/>
      <c r="G31" s="138"/>
      <c r="H31" s="138"/>
      <c r="I31" s="138"/>
      <c r="J31" s="8"/>
      <c r="K31" s="8"/>
      <c r="L31" s="163"/>
      <c r="M31" s="163"/>
      <c r="N31" s="165">
        <f t="shared" si="2"/>
        <v>0</v>
      </c>
      <c r="O31" s="167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5.75" x14ac:dyDescent="0.25">
      <c r="A32" s="21" t="s">
        <v>33</v>
      </c>
      <c r="B32" s="20"/>
      <c r="C32" s="33"/>
      <c r="D32" s="202"/>
      <c r="E32" s="203"/>
      <c r="F32" s="138"/>
      <c r="G32" s="138"/>
      <c r="H32" s="138"/>
      <c r="I32" s="138"/>
      <c r="J32" s="8"/>
      <c r="K32" s="8"/>
      <c r="L32" s="163"/>
      <c r="M32" s="163"/>
      <c r="N32" s="165">
        <f t="shared" si="2"/>
        <v>0</v>
      </c>
      <c r="O32" s="167">
        <f t="shared" ca="1" si="3"/>
        <v>-6615.5714285714284</v>
      </c>
      <c r="P32" s="58">
        <v>0</v>
      </c>
      <c r="Q32" s="107">
        <v>0</v>
      </c>
      <c r="R32" s="251"/>
      <c r="S32" s="251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x14ac:dyDescent="0.25">
      <c r="A33" s="21" t="s">
        <v>33</v>
      </c>
      <c r="B33" s="20"/>
      <c r="C33" s="33"/>
      <c r="D33" s="202"/>
      <c r="E33" s="203"/>
      <c r="F33" s="138"/>
      <c r="G33" s="138"/>
      <c r="H33" s="138"/>
      <c r="I33" s="138"/>
      <c r="J33" s="8"/>
      <c r="K33" s="8"/>
      <c r="L33" s="163"/>
      <c r="M33" s="163"/>
      <c r="N33" s="165">
        <f t="shared" si="2"/>
        <v>0</v>
      </c>
      <c r="O33" s="167">
        <f t="shared" ca="1" si="3"/>
        <v>-6615.5714285714284</v>
      </c>
      <c r="P33" s="58">
        <v>0</v>
      </c>
      <c r="Q33" s="107">
        <v>0</v>
      </c>
      <c r="R33" s="251"/>
      <c r="S33" s="251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x14ac:dyDescent="0.25">
      <c r="A34" s="21" t="s">
        <v>33</v>
      </c>
      <c r="B34" s="32"/>
      <c r="C34" s="33"/>
      <c r="D34" s="202"/>
      <c r="E34" s="203"/>
      <c r="F34" s="138"/>
      <c r="G34" s="138"/>
      <c r="H34" s="138"/>
      <c r="I34" s="138"/>
      <c r="J34" s="8"/>
      <c r="K34" s="8"/>
      <c r="L34" s="163"/>
      <c r="M34" s="163"/>
      <c r="N34" s="165">
        <f t="shared" si="2"/>
        <v>0</v>
      </c>
      <c r="O34" s="167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x14ac:dyDescent="0.25">
      <c r="A35" s="15"/>
      <c r="B35" s="2"/>
      <c r="C35" s="16"/>
      <c r="D35" s="136"/>
      <c r="E35" s="136"/>
      <c r="F35" s="136"/>
      <c r="G35" s="136"/>
      <c r="H35" s="136"/>
      <c r="I35" s="136"/>
      <c r="J35" s="15"/>
      <c r="K35" s="15"/>
      <c r="L35" s="15"/>
      <c r="M35" s="15"/>
      <c r="N35" s="42"/>
      <c r="O35" s="42"/>
      <c r="P35" s="15"/>
      <c r="Q35" s="77">
        <f>SUM(Q12:Q34)</f>
        <v>0</v>
      </c>
      <c r="R35" s="19"/>
      <c r="S35" s="19"/>
      <c r="T35" s="3"/>
    </row>
    <row r="36" spans="1:30" x14ac:dyDescent="0.25">
      <c r="A36" s="15"/>
      <c r="B36" s="2"/>
      <c r="C36" s="16"/>
      <c r="D36" s="136"/>
      <c r="E36" s="136"/>
      <c r="F36" s="136"/>
      <c r="G36" s="136"/>
      <c r="H36" s="136"/>
      <c r="I36" s="136"/>
      <c r="J36" s="15"/>
      <c r="K36" s="15"/>
      <c r="L36" s="15"/>
      <c r="M36" s="15"/>
      <c r="N36" s="42"/>
      <c r="O36" s="42"/>
      <c r="P36" s="15"/>
      <c r="Q36" s="15"/>
      <c r="R36" s="19"/>
      <c r="S36" s="19"/>
      <c r="T36" s="3"/>
    </row>
    <row r="37" spans="1:30" x14ac:dyDescent="0.25">
      <c r="A37" s="15"/>
      <c r="B37" s="2"/>
      <c r="C37" s="16"/>
      <c r="D37" s="136"/>
      <c r="E37" s="136"/>
      <c r="F37" s="136"/>
      <c r="G37" s="136"/>
      <c r="H37" s="136"/>
      <c r="I37" s="136"/>
      <c r="J37" s="15"/>
      <c r="K37" s="15"/>
      <c r="L37" s="15"/>
      <c r="M37" s="15"/>
      <c r="N37" s="42"/>
      <c r="O37" s="42"/>
      <c r="P37" s="15"/>
      <c r="Q37" s="15"/>
      <c r="R37" s="19"/>
      <c r="S37" s="19"/>
      <c r="T37" s="3"/>
    </row>
    <row r="38" spans="1:30" x14ac:dyDescent="0.25">
      <c r="B38" s="2"/>
      <c r="C38" s="1"/>
      <c r="R38" s="3"/>
      <c r="S38" s="3"/>
      <c r="T38" s="3"/>
    </row>
    <row r="39" spans="1:30" x14ac:dyDescent="0.25">
      <c r="B39" s="2"/>
      <c r="C39" s="1"/>
      <c r="R39" s="3"/>
      <c r="S39" s="3"/>
      <c r="T39" s="3"/>
    </row>
    <row r="40" spans="1:30" x14ac:dyDescent="0.25">
      <c r="B40" s="2"/>
      <c r="C40" s="1"/>
      <c r="R40" s="3"/>
      <c r="S40" s="3"/>
      <c r="T40" s="3"/>
    </row>
    <row r="41" spans="1:30" x14ac:dyDescent="0.25">
      <c r="B41" s="2"/>
      <c r="C41" s="1"/>
      <c r="R41" s="3"/>
      <c r="S41" s="3"/>
      <c r="T41" s="3"/>
    </row>
    <row r="42" spans="1:30" x14ac:dyDescent="0.25">
      <c r="B42" s="2"/>
      <c r="C42" s="1"/>
      <c r="R42" s="3"/>
      <c r="S42" s="3"/>
      <c r="T42" s="3"/>
    </row>
    <row r="43" spans="1:30" x14ac:dyDescent="0.25">
      <c r="B43" s="2"/>
      <c r="C43" s="1"/>
      <c r="R43" s="3"/>
      <c r="S43" s="3"/>
      <c r="T43" s="3"/>
    </row>
    <row r="44" spans="1:30" x14ac:dyDescent="0.25">
      <c r="B44" s="2"/>
    </row>
  </sheetData>
  <sheetProtection password="CE28" sheet="1" objects="1" scenarios="1"/>
  <mergeCells count="66">
    <mergeCell ref="C2:D2"/>
    <mergeCell ref="C3:D3"/>
    <mergeCell ref="E3:F3"/>
    <mergeCell ref="F9:H9"/>
    <mergeCell ref="F10:F11"/>
    <mergeCell ref="G10:H10"/>
    <mergeCell ref="C4:D5"/>
    <mergeCell ref="E4:F5"/>
    <mergeCell ref="C6:D6"/>
    <mergeCell ref="E6:F6"/>
    <mergeCell ref="C7:D8"/>
    <mergeCell ref="E7:F8"/>
    <mergeCell ref="O10:O11"/>
    <mergeCell ref="P10:Q10"/>
    <mergeCell ref="R10:S11"/>
    <mergeCell ref="D11:E11"/>
    <mergeCell ref="D12:E12"/>
    <mergeCell ref="R12:S12"/>
    <mergeCell ref="J10:J11"/>
    <mergeCell ref="K10:K11"/>
    <mergeCell ref="L10:L11"/>
    <mergeCell ref="M10:M11"/>
    <mergeCell ref="N10:N11"/>
    <mergeCell ref="I10:I11"/>
    <mergeCell ref="D13:E13"/>
    <mergeCell ref="R13:S13"/>
    <mergeCell ref="D14:E14"/>
    <mergeCell ref="R14:S14"/>
    <mergeCell ref="D15:E15"/>
    <mergeCell ref="R15:S15"/>
    <mergeCell ref="D16:E16"/>
    <mergeCell ref="R16:S16"/>
    <mergeCell ref="R17:S17"/>
    <mergeCell ref="D18:E18"/>
    <mergeCell ref="R18:S18"/>
    <mergeCell ref="D19:E19"/>
    <mergeCell ref="R19:S19"/>
    <mergeCell ref="D20:E20"/>
    <mergeCell ref="R20:S20"/>
    <mergeCell ref="D21:E21"/>
    <mergeCell ref="R21:S21"/>
    <mergeCell ref="D26:E26"/>
    <mergeCell ref="R26:S26"/>
    <mergeCell ref="D27:E27"/>
    <mergeCell ref="R27:S27"/>
    <mergeCell ref="D22:E22"/>
    <mergeCell ref="R22:S22"/>
    <mergeCell ref="R23:S23"/>
    <mergeCell ref="D24:E24"/>
    <mergeCell ref="R24:S24"/>
    <mergeCell ref="D34:E34"/>
    <mergeCell ref="R34:S34"/>
    <mergeCell ref="A1:S1"/>
    <mergeCell ref="D31:E31"/>
    <mergeCell ref="R31:S31"/>
    <mergeCell ref="D32:E32"/>
    <mergeCell ref="R32:S32"/>
    <mergeCell ref="D33:E33"/>
    <mergeCell ref="R33:S33"/>
    <mergeCell ref="D28:E28"/>
    <mergeCell ref="R28:S28"/>
    <mergeCell ref="R29:S29"/>
    <mergeCell ref="D30:E30"/>
    <mergeCell ref="R30:S30"/>
    <mergeCell ref="D25:E25"/>
    <mergeCell ref="R25:S25"/>
  </mergeCells>
  <conditionalFormatting sqref="B10:B12 A10:A34 D10:O34 C12:C34 B17:B34">
    <cfRule type="expression" dxfId="174" priority="74">
      <formula>$A10=$U$6</formula>
    </cfRule>
    <cfRule type="expression" dxfId="173" priority="71">
      <formula>$A10=$U$3</formula>
    </cfRule>
    <cfRule type="expression" dxfId="172" priority="72">
      <formula>$A10=$U$4</formula>
    </cfRule>
    <cfRule type="expression" dxfId="171" priority="73">
      <formula>$A10=$U$5</formula>
    </cfRule>
  </conditionalFormatting>
  <conditionalFormatting sqref="B17 D17:K17 N17:O17 B23 D23:K23 N23:O23 B29 D29:K29 N29:O29">
    <cfRule type="expression" dxfId="170" priority="26">
      <formula>#REF!=$U$4</formula>
    </cfRule>
    <cfRule type="expression" dxfId="169" priority="29">
      <formula>#REF!=$U$3</formula>
    </cfRule>
  </conditionalFormatting>
  <conditionalFormatting sqref="B17 D17:K17 N17:O17 B23 D23:K23 N23:O23 D29:K29 N29:O29 B29">
    <cfRule type="expression" dxfId="168" priority="25">
      <formula>#REF!=$U$6</formula>
    </cfRule>
  </conditionalFormatting>
  <conditionalFormatting sqref="C11">
    <cfRule type="expression" dxfId="167" priority="19">
      <formula>$A10=$U$7</formula>
    </cfRule>
    <cfRule type="expression" dxfId="166" priority="20">
      <formula>$A10=$U$3</formula>
    </cfRule>
    <cfRule type="expression" dxfId="165" priority="21">
      <formula>$A10=$U$4</formula>
    </cfRule>
    <cfRule type="expression" dxfId="164" priority="22">
      <formula>$A10=$U$5</formula>
    </cfRule>
    <cfRule type="expression" dxfId="163" priority="23">
      <formula>$A10=$U$6</formula>
    </cfRule>
  </conditionalFormatting>
  <conditionalFormatting sqref="D17:K17 N17:O17 D23:K23 N23:O23 D29:K29 N29:O29 B17 B23">
    <cfRule type="expression" dxfId="162" priority="24">
      <formula>#REF!=$U$5</formula>
    </cfRule>
  </conditionalFormatting>
  <conditionalFormatting sqref="D10:O34 B17:B34 B10:B12 A10:A34 C12:C34">
    <cfRule type="expression" dxfId="161" priority="70">
      <formula>$A10=$U$7</formula>
    </cfRule>
  </conditionalFormatting>
  <conditionalFormatting sqref="D17:O17 D23:O23 D29:O29">
    <cfRule type="expression" dxfId="160" priority="6">
      <formula>#REF!=$U$3</formula>
    </cfRule>
    <cfRule type="expression" dxfId="159" priority="7">
      <formula>#REF!=$U$4</formula>
    </cfRule>
    <cfRule type="expression" dxfId="158" priority="8">
      <formula>#REF!=$U$5</formula>
    </cfRule>
    <cfRule type="expression" dxfId="157" priority="9">
      <formula>#REF!=$U$6</formula>
    </cfRule>
    <cfRule type="expression" dxfId="156" priority="10">
      <formula>#REF!=$U$7</formula>
    </cfRule>
    <cfRule type="expression" dxfId="155" priority="11">
      <formula>#REF!=$U$3</formula>
    </cfRule>
    <cfRule type="expression" dxfId="154" priority="12">
      <formula>#REF!=$U$6</formula>
    </cfRule>
    <cfRule type="expression" dxfId="153" priority="13">
      <formula>#REF!=$U$5</formula>
    </cfRule>
    <cfRule type="expression" dxfId="152" priority="14">
      <formula>#REF!=$U$4</formula>
    </cfRule>
  </conditionalFormatting>
  <conditionalFormatting sqref="G10">
    <cfRule type="expression" dxfId="151" priority="2">
      <formula>$A11=$U$6</formula>
    </cfRule>
    <cfRule type="expression" dxfId="150" priority="3">
      <formula>$A11=$U$5</formula>
    </cfRule>
    <cfRule type="expression" dxfId="149" priority="4">
      <formula>$A11=$U$4</formula>
    </cfRule>
    <cfRule type="expression" dxfId="148" priority="5">
      <formula>$A11=$U$3</formula>
    </cfRule>
  </conditionalFormatting>
  <conditionalFormatting sqref="L16:N16 L22:N22 B28 D28:N28 B34 D34:N34">
    <cfRule type="expression" dxfId="147" priority="15">
      <formula>#REF!=$U$6</formula>
    </cfRule>
    <cfRule type="expression" dxfId="146" priority="17">
      <formula>#REF!=$U$4</formula>
    </cfRule>
    <cfRule type="expression" dxfId="145" priority="18">
      <formula>#REF!=$U$3</formula>
    </cfRule>
  </conditionalFormatting>
  <conditionalFormatting sqref="L16:N16 L22:N22 D28:N28 B28:B29 B34 D34:N34">
    <cfRule type="expression" dxfId="144" priority="16">
      <formula>#REF!=$U$5</formula>
    </cfRule>
  </conditionalFormatting>
  <conditionalFormatting sqref="U2:U6">
    <cfRule type="colorScale" priority="2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3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2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5">
    <dataValidation type="date" allowBlank="1" showInputMessage="1" showErrorMessage="1" sqref="L12:L16 L24:L28 L18:L22 L30:L34" xr:uid="{00000000-0002-0000-0200-000000000000}">
      <formula1>L12</formula1>
      <formula2>M12</formula2>
    </dataValidation>
    <dataValidation type="list" showInputMessage="1" showErrorMessage="1" sqref="B18 B30 B24" xr:uid="{00000000-0002-0000-0200-000001000000}">
      <formula1>$V$2:$V$9</formula1>
    </dataValidation>
    <dataValidation type="list" showInputMessage="1" showErrorMessage="1" sqref="B3" xr:uid="{00000000-0002-0000-0200-000002000000}">
      <formula1>$W$2:$W$10</formula1>
    </dataValidation>
    <dataValidation type="list" showInputMessage="1" showErrorMessage="1" sqref="A12:A16 A24:A28 A30:A34 A18:A22" xr:uid="{00000000-0002-0000-0200-000003000000}">
      <formula1>$U$2:$U$7</formula1>
    </dataValidation>
    <dataValidation type="list" showInputMessage="1" showErrorMessage="1" sqref="B12" xr:uid="{00000000-0002-0000-0200-000004000000}">
      <formula1>$V$2:$V$6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X49"/>
  <sheetViews>
    <sheetView topLeftCell="H1" zoomScale="85" zoomScaleNormal="85" workbookViewId="0">
      <pane ySplit="11" topLeftCell="A22" activePane="bottomLeft" state="frozen"/>
      <selection pane="bottomLeft" activeCell="Q35" sqref="Q35"/>
    </sheetView>
  </sheetViews>
  <sheetFormatPr baseColWidth="10" defaultColWidth="10.7109375" defaultRowHeight="15" x14ac:dyDescent="0.25"/>
  <cols>
    <col min="1" max="1" width="17.28515625" style="2" customWidth="1"/>
    <col min="2" max="2" width="15.5703125" style="2" customWidth="1"/>
    <col min="3" max="3" width="12.85546875" style="2" customWidth="1"/>
    <col min="4" max="4" width="35.140625" style="2" customWidth="1"/>
    <col min="5" max="5" width="23.140625" style="2" customWidth="1"/>
    <col min="6" max="6" width="42.85546875" style="2" customWidth="1"/>
    <col min="7" max="7" width="36.140625" style="2" customWidth="1"/>
    <col min="8" max="8" width="31.7109375" style="2" customWidth="1"/>
    <col min="9" max="9" width="18.7109375" style="2" customWidth="1"/>
    <col min="10" max="10" width="13.5703125" style="2" customWidth="1"/>
    <col min="11" max="11" width="12" style="2" customWidth="1"/>
    <col min="12" max="13" width="10.7109375" style="2"/>
    <col min="14" max="14" width="13.42578125" style="2" customWidth="1"/>
    <col min="15" max="15" width="16.7109375" style="2" customWidth="1"/>
    <col min="16" max="16" width="12.7109375" style="2" customWidth="1"/>
    <col min="17" max="17" width="15.5703125" style="2" customWidth="1"/>
    <col min="18" max="18" width="10.7109375" style="2"/>
    <col min="19" max="19" width="41" style="2" customWidth="1"/>
    <col min="20" max="20" width="10.7109375" style="2"/>
    <col min="21" max="21" width="16.42578125" style="2" hidden="1" customWidth="1"/>
    <col min="22" max="22" width="18.28515625" style="2" hidden="1" customWidth="1"/>
    <col min="23" max="23" width="14.42578125" style="2" hidden="1" customWidth="1"/>
    <col min="24" max="16384" width="10.7109375" style="2"/>
  </cols>
  <sheetData>
    <row r="1" spans="1:24" ht="21" customHeight="1" x14ac:dyDescent="0.25">
      <c r="A1" s="262" t="s">
        <v>97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4"/>
      <c r="U1" s="4"/>
    </row>
    <row r="2" spans="1:24" ht="21.75" customHeight="1" x14ac:dyDescent="0.25">
      <c r="A2" s="159" t="s">
        <v>98</v>
      </c>
      <c r="B2" s="98">
        <v>45749</v>
      </c>
      <c r="C2" s="272" t="s">
        <v>102</v>
      </c>
      <c r="D2" s="273"/>
      <c r="E2" s="170" t="s">
        <v>44</v>
      </c>
      <c r="F2" s="158"/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33</v>
      </c>
      <c r="V2" s="27" t="s">
        <v>106</v>
      </c>
      <c r="W2" s="11" t="s">
        <v>38</v>
      </c>
    </row>
    <row r="3" spans="1:24" ht="21" customHeight="1" thickBot="1" x14ac:dyDescent="0.3">
      <c r="A3" s="161" t="s">
        <v>0</v>
      </c>
      <c r="B3" s="91" t="s">
        <v>29</v>
      </c>
      <c r="C3" s="235" t="s">
        <v>39</v>
      </c>
      <c r="D3" s="236"/>
      <c r="E3" s="235" t="s">
        <v>43</v>
      </c>
      <c r="F3" s="237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3" t="s">
        <v>22</v>
      </c>
      <c r="W3" s="13" t="s">
        <v>25</v>
      </c>
    </row>
    <row r="4" spans="1:24" ht="13.5" customHeight="1" thickTop="1" x14ac:dyDescent="0.25">
      <c r="A4" s="71" t="s">
        <v>40</v>
      </c>
      <c r="B4" s="19"/>
      <c r="C4" s="221"/>
      <c r="D4" s="222"/>
      <c r="E4" s="225"/>
      <c r="F4" s="226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3" t="s">
        <v>16</v>
      </c>
      <c r="W4" s="13" t="s">
        <v>30</v>
      </c>
    </row>
    <row r="5" spans="1:24" ht="16.5" customHeight="1" x14ac:dyDescent="0.25">
      <c r="A5" s="72"/>
      <c r="B5" s="73"/>
      <c r="C5" s="223"/>
      <c r="D5" s="224"/>
      <c r="E5" s="227"/>
      <c r="F5" s="22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3" t="s">
        <v>17</v>
      </c>
      <c r="W5" s="13" t="s">
        <v>27</v>
      </c>
      <c r="X5" s="12"/>
    </row>
    <row r="6" spans="1:24" ht="18" customHeight="1" x14ac:dyDescent="0.25">
      <c r="A6" s="72"/>
      <c r="B6" s="73"/>
      <c r="C6" s="270" t="s">
        <v>45</v>
      </c>
      <c r="D6" s="271"/>
      <c r="E6" s="243" t="s">
        <v>46</v>
      </c>
      <c r="F6" s="244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4" t="s">
        <v>18</v>
      </c>
      <c r="W6" s="13" t="s">
        <v>28</v>
      </c>
      <c r="X6" s="12"/>
    </row>
    <row r="7" spans="1:24" ht="16.5" customHeight="1" x14ac:dyDescent="0.25">
      <c r="A7" s="72"/>
      <c r="B7" s="73"/>
      <c r="C7" s="259"/>
      <c r="D7" s="226"/>
      <c r="E7" s="225"/>
      <c r="F7" s="22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W7" s="13" t="s">
        <v>31</v>
      </c>
      <c r="X7" s="12"/>
    </row>
    <row r="8" spans="1:24" ht="12.75" customHeight="1" x14ac:dyDescent="0.25">
      <c r="A8" s="72"/>
      <c r="B8" s="73"/>
      <c r="C8" s="258"/>
      <c r="D8" s="228"/>
      <c r="E8" s="227"/>
      <c r="F8" s="2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V8" s="14"/>
      <c r="W8" s="13" t="s">
        <v>26</v>
      </c>
      <c r="X8" s="12"/>
    </row>
    <row r="9" spans="1:24" ht="15.75" x14ac:dyDescent="0.25">
      <c r="A9" s="72"/>
      <c r="B9" s="73"/>
      <c r="C9" s="103"/>
      <c r="D9" s="104"/>
      <c r="E9" s="104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V9" s="14"/>
      <c r="W9" s="13" t="s">
        <v>29</v>
      </c>
      <c r="X9" s="12"/>
    </row>
    <row r="10" spans="1:24" x14ac:dyDescent="0.25">
      <c r="A10" s="105"/>
      <c r="B10" s="15"/>
      <c r="D10" s="93"/>
      <c r="E10" s="94"/>
      <c r="F10" s="204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5" t="s">
        <v>3</v>
      </c>
      <c r="M10" s="215" t="s">
        <v>4</v>
      </c>
      <c r="N10" s="213" t="s">
        <v>14</v>
      </c>
      <c r="O10" s="213" t="s">
        <v>10</v>
      </c>
      <c r="P10" s="210" t="s">
        <v>2</v>
      </c>
      <c r="Q10" s="210"/>
      <c r="R10" s="266" t="s">
        <v>96</v>
      </c>
      <c r="S10" s="267"/>
      <c r="X10" s="12"/>
    </row>
    <row r="11" spans="1:24" ht="24.75" customHeight="1" x14ac:dyDescent="0.25">
      <c r="A11" s="101" t="s">
        <v>11</v>
      </c>
      <c r="B11" s="92" t="s">
        <v>107</v>
      </c>
      <c r="C11" s="126" t="s">
        <v>101</v>
      </c>
      <c r="D11" s="229" t="s">
        <v>36</v>
      </c>
      <c r="E11" s="230"/>
      <c r="F11" s="256"/>
      <c r="G11" s="95" t="s">
        <v>23</v>
      </c>
      <c r="H11" s="96" t="s">
        <v>24</v>
      </c>
      <c r="I11" s="242"/>
      <c r="J11" s="240"/>
      <c r="K11" s="239"/>
      <c r="L11" s="216"/>
      <c r="M11" s="216"/>
      <c r="N11" s="214"/>
      <c r="O11" s="214"/>
      <c r="P11" s="97" t="s">
        <v>12</v>
      </c>
      <c r="Q11" s="106" t="s">
        <v>13</v>
      </c>
      <c r="R11" s="268"/>
      <c r="S11" s="269"/>
      <c r="X11" s="12"/>
    </row>
    <row r="12" spans="1:24" ht="15.75" x14ac:dyDescent="0.25">
      <c r="A12" s="23" t="s">
        <v>33</v>
      </c>
      <c r="B12" s="35" t="s">
        <v>106</v>
      </c>
      <c r="C12" s="37"/>
      <c r="D12" s="217"/>
      <c r="E12" s="218"/>
      <c r="F12" s="36"/>
      <c r="G12" s="36"/>
      <c r="H12" s="36"/>
      <c r="I12" s="5"/>
      <c r="J12" s="5"/>
      <c r="K12" s="5"/>
      <c r="L12" s="162"/>
      <c r="M12" s="162"/>
      <c r="N12" s="165">
        <f>(M12-L12)/7</f>
        <v>0</v>
      </c>
      <c r="O12" s="166">
        <f ca="1">(M12-TODAY())/7</f>
        <v>-6615.5714285714284</v>
      </c>
      <c r="P12" s="58">
        <v>0</v>
      </c>
      <c r="Q12" s="58">
        <v>0</v>
      </c>
      <c r="R12" s="251"/>
      <c r="S12" s="251"/>
      <c r="X12" s="13"/>
    </row>
    <row r="13" spans="1:24" ht="15.75" x14ac:dyDescent="0.25">
      <c r="A13" s="22" t="s">
        <v>33</v>
      </c>
      <c r="B13" s="99"/>
      <c r="C13" s="38"/>
      <c r="D13" s="264"/>
      <c r="E13" s="265"/>
      <c r="F13" s="8"/>
      <c r="G13" s="8"/>
      <c r="H13" s="8"/>
      <c r="I13" s="8"/>
      <c r="J13" s="8"/>
      <c r="K13" s="8"/>
      <c r="L13" s="163"/>
      <c r="M13" s="163"/>
      <c r="N13" s="165">
        <f t="shared" ref="N13:N28" si="0">(M13-L13)/7</f>
        <v>0</v>
      </c>
      <c r="O13" s="167">
        <f ca="1">(M13-TODAY())/7</f>
        <v>-6615.5714285714284</v>
      </c>
      <c r="P13" s="58">
        <v>0</v>
      </c>
      <c r="Q13" s="107">
        <v>0</v>
      </c>
      <c r="R13" s="251"/>
      <c r="S13" s="251"/>
      <c r="X13" s="13"/>
    </row>
    <row r="14" spans="1:24" ht="15.75" x14ac:dyDescent="0.25">
      <c r="A14" s="21" t="s">
        <v>33</v>
      </c>
      <c r="B14" s="99"/>
      <c r="C14" s="38"/>
      <c r="D14" s="264"/>
      <c r="E14" s="265"/>
      <c r="F14" s="8"/>
      <c r="G14" s="8"/>
      <c r="H14" s="8"/>
      <c r="I14" s="8"/>
      <c r="J14" s="8"/>
      <c r="K14" s="8"/>
      <c r="L14" s="163"/>
      <c r="M14" s="163"/>
      <c r="N14" s="165">
        <f t="shared" si="0"/>
        <v>0</v>
      </c>
      <c r="O14" s="167">
        <f ca="1">(M14-TODAY())/7</f>
        <v>-6615.5714285714284</v>
      </c>
      <c r="P14" s="58">
        <v>0</v>
      </c>
      <c r="Q14" s="107">
        <v>0</v>
      </c>
      <c r="R14" s="251"/>
      <c r="S14" s="251"/>
      <c r="T14" s="6"/>
      <c r="U14" s="6"/>
      <c r="V14" s="7"/>
      <c r="W14" s="6"/>
      <c r="X14" s="6"/>
    </row>
    <row r="15" spans="1:24" ht="15.75" x14ac:dyDescent="0.25">
      <c r="A15" s="21" t="s">
        <v>33</v>
      </c>
      <c r="B15" s="99"/>
      <c r="C15" s="38"/>
      <c r="D15" s="264"/>
      <c r="E15" s="265"/>
      <c r="F15" s="8"/>
      <c r="G15" s="8"/>
      <c r="H15" s="8"/>
      <c r="I15" s="8"/>
      <c r="J15" s="8"/>
      <c r="K15" s="8"/>
      <c r="L15" s="163"/>
      <c r="M15" s="163"/>
      <c r="N15" s="165">
        <f t="shared" si="0"/>
        <v>0</v>
      </c>
      <c r="O15" s="167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</row>
    <row r="16" spans="1:24" ht="16.5" thickBot="1" x14ac:dyDescent="0.3">
      <c r="A16" s="23" t="s">
        <v>33</v>
      </c>
      <c r="B16" s="100"/>
      <c r="C16" s="38"/>
      <c r="D16" s="260"/>
      <c r="E16" s="261"/>
      <c r="F16" s="8"/>
      <c r="G16" s="8"/>
      <c r="H16" s="8"/>
      <c r="I16" s="8"/>
      <c r="J16" s="8"/>
      <c r="K16" s="8"/>
      <c r="L16" s="163"/>
      <c r="M16" s="163"/>
      <c r="N16" s="165">
        <f t="shared" si="0"/>
        <v>0</v>
      </c>
      <c r="O16" s="167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</row>
    <row r="17" spans="1:24" ht="1.5" customHeight="1" thickTop="1" x14ac:dyDescent="0.25">
      <c r="A17" s="41"/>
      <c r="B17" s="31"/>
      <c r="C17" s="34"/>
      <c r="D17" s="9"/>
      <c r="E17" s="9"/>
      <c r="F17" s="10"/>
      <c r="G17" s="10"/>
      <c r="H17" s="10"/>
      <c r="I17" s="9"/>
      <c r="J17" s="9"/>
      <c r="K17" s="9"/>
      <c r="L17" s="164"/>
      <c r="M17" s="164"/>
      <c r="N17" s="168"/>
      <c r="O17" s="169"/>
      <c r="P17" s="58">
        <v>0</v>
      </c>
      <c r="Q17" s="107"/>
      <c r="R17" s="251"/>
      <c r="S17" s="251"/>
      <c r="T17" s="6"/>
      <c r="U17" s="6"/>
      <c r="V17" s="6"/>
      <c r="W17" s="6"/>
      <c r="X17" s="6"/>
    </row>
    <row r="18" spans="1:24" ht="15.75" x14ac:dyDescent="0.25">
      <c r="A18" s="21" t="s">
        <v>33</v>
      </c>
      <c r="B18" s="39" t="s">
        <v>106</v>
      </c>
      <c r="C18" s="38"/>
      <c r="D18" s="260"/>
      <c r="E18" s="261"/>
      <c r="F18" s="8"/>
      <c r="G18" s="8"/>
      <c r="H18" s="8"/>
      <c r="I18" s="8"/>
      <c r="J18" s="8"/>
      <c r="K18" s="8"/>
      <c r="L18" s="163"/>
      <c r="M18" s="163"/>
      <c r="N18" s="165">
        <f t="shared" si="0"/>
        <v>0</v>
      </c>
      <c r="O18" s="167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</row>
    <row r="19" spans="1:24" ht="15.75" x14ac:dyDescent="0.25">
      <c r="A19" s="21" t="s">
        <v>33</v>
      </c>
      <c r="B19" s="40"/>
      <c r="C19" s="38"/>
      <c r="D19" s="260"/>
      <c r="E19" s="261"/>
      <c r="F19" s="8"/>
      <c r="G19" s="8"/>
      <c r="H19" s="8"/>
      <c r="I19" s="8"/>
      <c r="J19" s="8"/>
      <c r="K19" s="8"/>
      <c r="L19" s="163"/>
      <c r="M19" s="163"/>
      <c r="N19" s="165">
        <f t="shared" si="0"/>
        <v>0</v>
      </c>
      <c r="O19" s="167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</row>
    <row r="20" spans="1:24" ht="15.75" x14ac:dyDescent="0.25">
      <c r="A20" s="25" t="s">
        <v>33</v>
      </c>
      <c r="B20" s="40"/>
      <c r="C20" s="38"/>
      <c r="D20" s="260"/>
      <c r="E20" s="261"/>
      <c r="F20" s="8"/>
      <c r="G20" s="8"/>
      <c r="H20" s="8"/>
      <c r="I20" s="8"/>
      <c r="J20" s="8"/>
      <c r="K20" s="8"/>
      <c r="L20" s="163"/>
      <c r="M20" s="163"/>
      <c r="N20" s="165">
        <f t="shared" si="0"/>
        <v>0</v>
      </c>
      <c r="O20" s="167">
        <f t="shared" ca="1" si="1"/>
        <v>-6615.5714285714284</v>
      </c>
      <c r="P20" s="58">
        <v>0</v>
      </c>
      <c r="Q20" s="107">
        <v>0</v>
      </c>
      <c r="R20" s="251"/>
      <c r="S20" s="251"/>
      <c r="T20" s="6"/>
      <c r="U20" s="6"/>
      <c r="V20" s="6"/>
      <c r="W20" s="6"/>
      <c r="X20" s="6"/>
    </row>
    <row r="21" spans="1:24" ht="15.75" x14ac:dyDescent="0.25">
      <c r="A21" s="25" t="s">
        <v>33</v>
      </c>
      <c r="B21" s="40"/>
      <c r="C21" s="38"/>
      <c r="D21" s="260"/>
      <c r="E21" s="261"/>
      <c r="F21" s="8"/>
      <c r="G21" s="8"/>
      <c r="H21" s="8"/>
      <c r="I21" s="8"/>
      <c r="J21" s="8"/>
      <c r="K21" s="8"/>
      <c r="L21" s="163"/>
      <c r="M21" s="163"/>
      <c r="N21" s="165">
        <f t="shared" si="0"/>
        <v>0</v>
      </c>
      <c r="O21" s="167">
        <f t="shared" ca="1" si="1"/>
        <v>-6615.5714285714284</v>
      </c>
      <c r="P21" s="58">
        <v>0</v>
      </c>
      <c r="Q21" s="107">
        <v>0</v>
      </c>
      <c r="R21" s="251"/>
      <c r="S21" s="251"/>
      <c r="T21" s="6"/>
      <c r="U21" s="6"/>
      <c r="V21" s="6"/>
      <c r="W21" s="6"/>
      <c r="X21" s="6"/>
    </row>
    <row r="22" spans="1:24" ht="15.75" x14ac:dyDescent="0.25">
      <c r="A22" s="25" t="s">
        <v>33</v>
      </c>
      <c r="B22" s="40"/>
      <c r="C22" s="38"/>
      <c r="D22" s="260"/>
      <c r="E22" s="261"/>
      <c r="F22" s="8"/>
      <c r="G22" s="8"/>
      <c r="H22" s="8"/>
      <c r="I22" s="8"/>
      <c r="J22" s="8"/>
      <c r="K22" s="8"/>
      <c r="L22" s="163"/>
      <c r="M22" s="163"/>
      <c r="N22" s="165">
        <f t="shared" si="0"/>
        <v>0</v>
      </c>
      <c r="O22" s="167">
        <f ca="1">(M22-TODAY())/7</f>
        <v>-6615.5714285714284</v>
      </c>
      <c r="P22" s="58">
        <v>0</v>
      </c>
      <c r="Q22" s="107">
        <v>0</v>
      </c>
      <c r="R22" s="251"/>
      <c r="S22" s="251"/>
      <c r="T22" s="6"/>
      <c r="U22" s="6"/>
      <c r="V22" s="6"/>
      <c r="W22" s="6"/>
      <c r="X22" s="6"/>
    </row>
    <row r="23" spans="1:24" ht="1.5" customHeight="1" x14ac:dyDescent="0.25">
      <c r="A23" s="24"/>
      <c r="B23" s="31"/>
      <c r="C23" s="34"/>
      <c r="D23" s="9"/>
      <c r="E23" s="9"/>
      <c r="F23" s="10"/>
      <c r="G23" s="10"/>
      <c r="H23" s="10"/>
      <c r="I23" s="9"/>
      <c r="J23" s="9"/>
      <c r="K23" s="9"/>
      <c r="L23" s="164"/>
      <c r="M23" s="164"/>
      <c r="N23" s="168"/>
      <c r="O23" s="169"/>
      <c r="P23" s="58">
        <v>0</v>
      </c>
      <c r="Q23" s="107"/>
      <c r="R23" s="251"/>
      <c r="S23" s="251"/>
      <c r="T23" s="6"/>
      <c r="U23" s="6"/>
      <c r="V23" s="6"/>
      <c r="W23" s="6"/>
      <c r="X23" s="6"/>
    </row>
    <row r="24" spans="1:24" ht="15.75" customHeight="1" x14ac:dyDescent="0.25">
      <c r="A24" s="21" t="s">
        <v>33</v>
      </c>
      <c r="B24" s="35" t="s">
        <v>106</v>
      </c>
      <c r="C24" s="38"/>
      <c r="D24" s="260"/>
      <c r="E24" s="261"/>
      <c r="F24" s="8"/>
      <c r="G24" s="8"/>
      <c r="H24" s="8"/>
      <c r="I24" s="8"/>
      <c r="J24" s="8"/>
      <c r="K24" s="8"/>
      <c r="L24" s="163"/>
      <c r="M24" s="163"/>
      <c r="N24" s="165">
        <f t="shared" si="0"/>
        <v>0</v>
      </c>
      <c r="O24" s="167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</row>
    <row r="25" spans="1:24" ht="15.75" x14ac:dyDescent="0.25">
      <c r="A25" s="21" t="s">
        <v>33</v>
      </c>
      <c r="B25" s="20"/>
      <c r="C25" s="38"/>
      <c r="D25" s="260"/>
      <c r="E25" s="261"/>
      <c r="F25" s="8"/>
      <c r="G25" s="8"/>
      <c r="H25" s="8"/>
      <c r="I25" s="8"/>
      <c r="J25" s="8"/>
      <c r="K25" s="8"/>
      <c r="L25" s="163"/>
      <c r="M25" s="163"/>
      <c r="N25" s="165">
        <f t="shared" si="0"/>
        <v>0</v>
      </c>
      <c r="O25" s="167">
        <f t="shared" ca="1" si="1"/>
        <v>-6615.5714285714284</v>
      </c>
      <c r="P25" s="58">
        <v>0</v>
      </c>
      <c r="Q25" s="107">
        <v>0</v>
      </c>
      <c r="R25" s="251"/>
      <c r="S25" s="251"/>
      <c r="T25" s="6"/>
      <c r="U25" s="6"/>
      <c r="V25" s="6"/>
      <c r="W25" s="6"/>
      <c r="X25" s="6"/>
    </row>
    <row r="26" spans="1:24" ht="15.75" x14ac:dyDescent="0.25">
      <c r="A26" s="21" t="s">
        <v>33</v>
      </c>
      <c r="B26" s="20"/>
      <c r="C26" s="38"/>
      <c r="D26" s="260"/>
      <c r="E26" s="261"/>
      <c r="F26" s="8"/>
      <c r="G26" s="8"/>
      <c r="H26" s="8"/>
      <c r="I26" s="8"/>
      <c r="J26" s="8"/>
      <c r="K26" s="8"/>
      <c r="L26" s="163"/>
      <c r="M26" s="163"/>
      <c r="N26" s="165">
        <f t="shared" si="0"/>
        <v>0</v>
      </c>
      <c r="O26" s="167">
        <f t="shared" ca="1" si="1"/>
        <v>-6615.5714285714284</v>
      </c>
      <c r="P26" s="58">
        <v>0</v>
      </c>
      <c r="Q26" s="107">
        <v>0</v>
      </c>
      <c r="R26" s="251"/>
      <c r="S26" s="251"/>
      <c r="T26" s="6"/>
      <c r="U26" s="6"/>
      <c r="V26" s="6"/>
      <c r="W26" s="6"/>
      <c r="X26" s="6"/>
    </row>
    <row r="27" spans="1:24" ht="15.75" x14ac:dyDescent="0.25">
      <c r="A27" s="21" t="s">
        <v>33</v>
      </c>
      <c r="B27" s="20"/>
      <c r="C27" s="38"/>
      <c r="D27" s="260"/>
      <c r="E27" s="261"/>
      <c r="F27" s="8"/>
      <c r="G27" s="8"/>
      <c r="H27" s="8"/>
      <c r="I27" s="8"/>
      <c r="J27" s="8"/>
      <c r="K27" s="8"/>
      <c r="L27" s="163"/>
      <c r="M27" s="163"/>
      <c r="N27" s="165">
        <f t="shared" si="0"/>
        <v>0</v>
      </c>
      <c r="O27" s="167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</row>
    <row r="28" spans="1:24" ht="15.75" x14ac:dyDescent="0.25">
      <c r="A28" s="21" t="s">
        <v>33</v>
      </c>
      <c r="B28" s="32"/>
      <c r="C28" s="3"/>
      <c r="D28" s="260"/>
      <c r="E28" s="261"/>
      <c r="F28" s="8"/>
      <c r="G28" s="8"/>
      <c r="H28" s="8"/>
      <c r="I28" s="8"/>
      <c r="J28" s="8"/>
      <c r="K28" s="8"/>
      <c r="L28" s="163"/>
      <c r="M28" s="163"/>
      <c r="N28" s="165">
        <f t="shared" si="0"/>
        <v>0</v>
      </c>
      <c r="O28" s="167">
        <f t="shared" ca="1" si="1"/>
        <v>-6615.5714285714284</v>
      </c>
      <c r="P28" s="58">
        <v>0</v>
      </c>
      <c r="Q28" s="107">
        <v>0</v>
      </c>
      <c r="R28" s="251"/>
      <c r="S28" s="251"/>
      <c r="T28" s="6"/>
      <c r="U28" s="6"/>
      <c r="V28" s="6"/>
      <c r="W28" s="6"/>
      <c r="X28" s="6"/>
    </row>
    <row r="29" spans="1:24" ht="1.5" customHeight="1" x14ac:dyDescent="0.25">
      <c r="A29" s="24"/>
      <c r="B29" s="31"/>
      <c r="C29" s="34"/>
      <c r="D29" s="9"/>
      <c r="E29" s="9"/>
      <c r="F29" s="10"/>
      <c r="G29" s="10"/>
      <c r="H29" s="10"/>
      <c r="I29" s="9"/>
      <c r="J29" s="9"/>
      <c r="K29" s="9"/>
      <c r="L29" s="164"/>
      <c r="M29" s="164"/>
      <c r="N29" s="168"/>
      <c r="O29" s="169"/>
      <c r="P29" s="58">
        <v>0</v>
      </c>
      <c r="Q29" s="107"/>
      <c r="R29" s="251"/>
      <c r="S29" s="251"/>
      <c r="T29" s="6"/>
      <c r="U29" s="6"/>
      <c r="V29" s="6"/>
      <c r="W29" s="6"/>
      <c r="X29" s="6"/>
    </row>
    <row r="30" spans="1:24" ht="13.5" customHeight="1" x14ac:dyDescent="0.25">
      <c r="A30" s="21" t="s">
        <v>33</v>
      </c>
      <c r="B30" s="35" t="s">
        <v>106</v>
      </c>
      <c r="C30" s="33"/>
      <c r="D30" s="260"/>
      <c r="E30" s="261"/>
      <c r="F30" s="8"/>
      <c r="G30" s="8"/>
      <c r="H30" s="8"/>
      <c r="I30" s="8"/>
      <c r="J30" s="8"/>
      <c r="K30" s="8"/>
      <c r="L30" s="163"/>
      <c r="M30" s="163"/>
      <c r="N30" s="165">
        <f t="shared" ref="N30:N34" si="2">(M30-L30)/7</f>
        <v>0</v>
      </c>
      <c r="O30" s="167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</row>
    <row r="31" spans="1:24" ht="15.75" x14ac:dyDescent="0.25">
      <c r="A31" s="21" t="s">
        <v>33</v>
      </c>
      <c r="B31" s="20"/>
      <c r="C31" s="33"/>
      <c r="D31" s="260"/>
      <c r="E31" s="261"/>
      <c r="F31" s="8"/>
      <c r="G31" s="8"/>
      <c r="H31" s="8"/>
      <c r="I31" s="8"/>
      <c r="J31" s="8"/>
      <c r="K31" s="8"/>
      <c r="L31" s="163"/>
      <c r="M31" s="163"/>
      <c r="N31" s="165">
        <f t="shared" si="2"/>
        <v>0</v>
      </c>
      <c r="O31" s="167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</row>
    <row r="32" spans="1:24" ht="15.75" x14ac:dyDescent="0.25">
      <c r="A32" s="21" t="s">
        <v>33</v>
      </c>
      <c r="B32" s="20"/>
      <c r="C32" s="33"/>
      <c r="D32" s="260"/>
      <c r="E32" s="261"/>
      <c r="F32" s="8"/>
      <c r="G32" s="8"/>
      <c r="H32" s="8"/>
      <c r="I32" s="8"/>
      <c r="J32" s="8"/>
      <c r="K32" s="8"/>
      <c r="L32" s="163"/>
      <c r="M32" s="163"/>
      <c r="N32" s="165">
        <f t="shared" si="2"/>
        <v>0</v>
      </c>
      <c r="O32" s="167">
        <f t="shared" ca="1" si="3"/>
        <v>-6615.5714285714284</v>
      </c>
      <c r="P32" s="58">
        <v>0</v>
      </c>
      <c r="Q32" s="107">
        <v>0</v>
      </c>
      <c r="R32" s="251"/>
      <c r="S32" s="251"/>
      <c r="T32" s="6"/>
      <c r="U32" s="6"/>
      <c r="V32" s="6"/>
      <c r="W32" s="6"/>
      <c r="X32" s="6"/>
    </row>
    <row r="33" spans="1:24" ht="15.75" x14ac:dyDescent="0.25">
      <c r="A33" s="21" t="s">
        <v>33</v>
      </c>
      <c r="B33" s="20"/>
      <c r="C33" s="33"/>
      <c r="D33" s="260"/>
      <c r="E33" s="261"/>
      <c r="F33" s="8"/>
      <c r="G33" s="8"/>
      <c r="H33" s="8"/>
      <c r="I33" s="8"/>
      <c r="J33" s="8"/>
      <c r="K33" s="8"/>
      <c r="L33" s="163"/>
      <c r="M33" s="163"/>
      <c r="N33" s="165">
        <f t="shared" si="2"/>
        <v>0</v>
      </c>
      <c r="O33" s="167">
        <f t="shared" ca="1" si="3"/>
        <v>-6615.5714285714284</v>
      </c>
      <c r="P33" s="58">
        <v>0</v>
      </c>
      <c r="Q33" s="107">
        <v>0</v>
      </c>
      <c r="R33" s="251"/>
      <c r="S33" s="251"/>
      <c r="T33" s="6"/>
      <c r="U33" s="6"/>
      <c r="V33" s="6"/>
      <c r="W33" s="6"/>
      <c r="X33" s="6"/>
    </row>
    <row r="34" spans="1:24" ht="15.75" x14ac:dyDescent="0.25">
      <c r="A34" s="21" t="s">
        <v>33</v>
      </c>
      <c r="B34" s="32"/>
      <c r="C34" s="33"/>
      <c r="D34" s="260"/>
      <c r="E34" s="261"/>
      <c r="F34" s="8"/>
      <c r="G34" s="8"/>
      <c r="H34" s="8"/>
      <c r="I34" s="8"/>
      <c r="J34" s="8"/>
      <c r="K34" s="8"/>
      <c r="L34" s="163"/>
      <c r="M34" s="163"/>
      <c r="N34" s="165">
        <f t="shared" si="2"/>
        <v>0</v>
      </c>
      <c r="O34" s="167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</row>
    <row r="35" spans="1:24" ht="15.75" x14ac:dyDescent="0.25">
      <c r="A35" s="15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42"/>
      <c r="O35" s="42"/>
      <c r="P35" s="15"/>
      <c r="Q35" s="77">
        <f>SUM(Q12:Q34)</f>
        <v>0</v>
      </c>
      <c r="R35" s="19"/>
      <c r="S35" s="19"/>
      <c r="T35" s="3"/>
    </row>
    <row r="36" spans="1:24" x14ac:dyDescent="0.25">
      <c r="A36" s="15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42"/>
      <c r="O36" s="42"/>
      <c r="P36" s="15"/>
      <c r="Q36" s="15"/>
      <c r="R36" s="19"/>
      <c r="S36" s="19"/>
      <c r="T36" s="3"/>
    </row>
    <row r="37" spans="1:24" x14ac:dyDescent="0.25">
      <c r="A37" s="15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42"/>
      <c r="O37" s="42"/>
      <c r="P37" s="15"/>
      <c r="Q37" s="15"/>
      <c r="R37" s="19"/>
      <c r="S37" s="19"/>
      <c r="T37" s="3"/>
    </row>
    <row r="38" spans="1:24" x14ac:dyDescent="0.25">
      <c r="C38" s="1"/>
      <c r="N38"/>
      <c r="O38"/>
      <c r="R38" s="3"/>
      <c r="S38" s="3"/>
      <c r="T38" s="3"/>
    </row>
    <row r="39" spans="1:24" x14ac:dyDescent="0.25">
      <c r="C39" s="1"/>
      <c r="R39" s="3"/>
      <c r="S39" s="3"/>
      <c r="T39" s="3"/>
    </row>
    <row r="40" spans="1:24" x14ac:dyDescent="0.25">
      <c r="C40" s="1"/>
      <c r="R40" s="3"/>
      <c r="S40" s="3"/>
      <c r="T40" s="3"/>
    </row>
    <row r="41" spans="1:24" x14ac:dyDescent="0.25">
      <c r="C41" s="1"/>
      <c r="R41" s="3"/>
      <c r="S41" s="3"/>
      <c r="T41" s="3"/>
    </row>
    <row r="42" spans="1:24" x14ac:dyDescent="0.25">
      <c r="C42" s="1"/>
      <c r="R42" s="3"/>
      <c r="S42" s="3"/>
      <c r="T42" s="3"/>
    </row>
    <row r="43" spans="1:24" x14ac:dyDescent="0.25">
      <c r="C43" s="1"/>
      <c r="R43" s="3"/>
      <c r="S43" s="3"/>
      <c r="T43" s="3"/>
    </row>
    <row r="45" spans="1:24" x14ac:dyDescent="0.25">
      <c r="B45" s="28"/>
    </row>
    <row r="46" spans="1:24" x14ac:dyDescent="0.25">
      <c r="B46" s="28"/>
    </row>
    <row r="47" spans="1:24" x14ac:dyDescent="0.25">
      <c r="B47" s="28"/>
    </row>
    <row r="48" spans="1:24" x14ac:dyDescent="0.25">
      <c r="B48" s="28"/>
    </row>
    <row r="49" spans="2:2" x14ac:dyDescent="0.25">
      <c r="B49" s="28"/>
    </row>
  </sheetData>
  <sheetProtection password="CE28" sheet="1" objects="1" scenarios="1"/>
  <mergeCells count="66">
    <mergeCell ref="C2:D2"/>
    <mergeCell ref="C3:D3"/>
    <mergeCell ref="E3:F3"/>
    <mergeCell ref="C4:D5"/>
    <mergeCell ref="E4:F5"/>
    <mergeCell ref="C6:D6"/>
    <mergeCell ref="E6:F6"/>
    <mergeCell ref="C7:D8"/>
    <mergeCell ref="E7:F8"/>
    <mergeCell ref="F9:H9"/>
    <mergeCell ref="O10:O11"/>
    <mergeCell ref="P10:Q10"/>
    <mergeCell ref="R10:S11"/>
    <mergeCell ref="D11:E11"/>
    <mergeCell ref="D12:E12"/>
    <mergeCell ref="R12:S12"/>
    <mergeCell ref="I10:I11"/>
    <mergeCell ref="J10:J11"/>
    <mergeCell ref="K10:K11"/>
    <mergeCell ref="L10:L11"/>
    <mergeCell ref="M10:M11"/>
    <mergeCell ref="N10:N11"/>
    <mergeCell ref="F10:F11"/>
    <mergeCell ref="G10:H10"/>
    <mergeCell ref="D19:E19"/>
    <mergeCell ref="R19:S19"/>
    <mergeCell ref="D13:E13"/>
    <mergeCell ref="R13:S13"/>
    <mergeCell ref="D14:E14"/>
    <mergeCell ref="R14:S14"/>
    <mergeCell ref="D15:E15"/>
    <mergeCell ref="R15:S15"/>
    <mergeCell ref="D16:E16"/>
    <mergeCell ref="R16:S16"/>
    <mergeCell ref="R17:S17"/>
    <mergeCell ref="D18:E18"/>
    <mergeCell ref="R18:S18"/>
    <mergeCell ref="D26:E26"/>
    <mergeCell ref="R26:S26"/>
    <mergeCell ref="D20:E20"/>
    <mergeCell ref="R20:S20"/>
    <mergeCell ref="D21:E21"/>
    <mergeCell ref="R21:S21"/>
    <mergeCell ref="D22:E22"/>
    <mergeCell ref="R22:S22"/>
    <mergeCell ref="R23:S23"/>
    <mergeCell ref="D24:E24"/>
    <mergeCell ref="R24:S24"/>
    <mergeCell ref="D25:E25"/>
    <mergeCell ref="R25:S25"/>
    <mergeCell ref="D34:E34"/>
    <mergeCell ref="R34:S34"/>
    <mergeCell ref="A1:S1"/>
    <mergeCell ref="D31:E31"/>
    <mergeCell ref="R31:S31"/>
    <mergeCell ref="D32:E32"/>
    <mergeCell ref="R32:S32"/>
    <mergeCell ref="D33:E33"/>
    <mergeCell ref="R33:S33"/>
    <mergeCell ref="D27:E27"/>
    <mergeCell ref="R27:S27"/>
    <mergeCell ref="D28:E28"/>
    <mergeCell ref="R28:S28"/>
    <mergeCell ref="R29:S29"/>
    <mergeCell ref="D30:E30"/>
    <mergeCell ref="R30:S30"/>
  </mergeCells>
  <conditionalFormatting sqref="B10:B12 A10:A34 D10:O34 C12:C34 B17:B34">
    <cfRule type="expression" dxfId="143" priority="74">
      <formula>$A10=$U$6</formula>
    </cfRule>
    <cfRule type="expression" dxfId="142" priority="71">
      <formula>$A10=$U$3</formula>
    </cfRule>
    <cfRule type="expression" dxfId="141" priority="72">
      <formula>$A10=$U$4</formula>
    </cfRule>
    <cfRule type="expression" dxfId="140" priority="73">
      <formula>$A10=$U$5</formula>
    </cfRule>
  </conditionalFormatting>
  <conditionalFormatting sqref="B17 D17:K17 N17:O17 B23 D23:K23 N23:O23 B29 D29:K29 N29:O29">
    <cfRule type="expression" dxfId="139" priority="26">
      <formula>#REF!=$U$4</formula>
    </cfRule>
    <cfRule type="expression" dxfId="138" priority="29">
      <formula>#REF!=$U$3</formula>
    </cfRule>
  </conditionalFormatting>
  <conditionalFormatting sqref="B17 D17:K17 N17:O17 B23 D23:K23 N23:O23 D29:K29 N29:O29 B29">
    <cfRule type="expression" dxfId="137" priority="25">
      <formula>#REF!=$U$6</formula>
    </cfRule>
  </conditionalFormatting>
  <conditionalFormatting sqref="C11">
    <cfRule type="expression" dxfId="136" priority="19">
      <formula>$A10=$U$7</formula>
    </cfRule>
    <cfRule type="expression" dxfId="135" priority="20">
      <formula>$A10=$U$3</formula>
    </cfRule>
    <cfRule type="expression" dxfId="134" priority="21">
      <formula>$A10=$U$4</formula>
    </cfRule>
    <cfRule type="expression" dxfId="133" priority="22">
      <formula>$A10=$U$5</formula>
    </cfRule>
    <cfRule type="expression" dxfId="132" priority="23">
      <formula>$A10=$U$6</formula>
    </cfRule>
  </conditionalFormatting>
  <conditionalFormatting sqref="D17:K17 N17:O17 D23:K23 N23:O23 D29:K29 N29:O29 B17 B23">
    <cfRule type="expression" dxfId="131" priority="24">
      <formula>#REF!=$U$5</formula>
    </cfRule>
  </conditionalFormatting>
  <conditionalFormatting sqref="D10:O34 B17:B34 B10:B12 A10:A34 C12:C34">
    <cfRule type="expression" dxfId="130" priority="70">
      <formula>$A10=$U$7</formula>
    </cfRule>
  </conditionalFormatting>
  <conditionalFormatting sqref="D17:O17 D23:O23 D29:O29">
    <cfRule type="expression" dxfId="129" priority="6">
      <formula>#REF!=$U$3</formula>
    </cfRule>
    <cfRule type="expression" dxfId="128" priority="7">
      <formula>#REF!=$U$4</formula>
    </cfRule>
    <cfRule type="expression" dxfId="127" priority="8">
      <formula>#REF!=$U$5</formula>
    </cfRule>
    <cfRule type="expression" dxfId="126" priority="9">
      <formula>#REF!=$U$6</formula>
    </cfRule>
    <cfRule type="expression" dxfId="125" priority="10">
      <formula>#REF!=$U$7</formula>
    </cfRule>
    <cfRule type="expression" dxfId="124" priority="11">
      <formula>#REF!=$U$3</formula>
    </cfRule>
    <cfRule type="expression" dxfId="123" priority="12">
      <formula>#REF!=$U$6</formula>
    </cfRule>
    <cfRule type="expression" dxfId="122" priority="13">
      <formula>#REF!=$U$5</formula>
    </cfRule>
    <cfRule type="expression" dxfId="121" priority="14">
      <formula>#REF!=$U$4</formula>
    </cfRule>
  </conditionalFormatting>
  <conditionalFormatting sqref="G10">
    <cfRule type="expression" dxfId="120" priority="2">
      <formula>$A11=$U$6</formula>
    </cfRule>
    <cfRule type="expression" dxfId="119" priority="3">
      <formula>$A11=$U$5</formula>
    </cfRule>
    <cfRule type="expression" dxfId="118" priority="4">
      <formula>$A11=$U$4</formula>
    </cfRule>
    <cfRule type="expression" dxfId="117" priority="5">
      <formula>$A11=$U$3</formula>
    </cfRule>
  </conditionalFormatting>
  <conditionalFormatting sqref="L16:N16 L22:N22 B28 D28:N28 B34 D34:N34">
    <cfRule type="expression" dxfId="116" priority="15">
      <formula>#REF!=$U$6</formula>
    </cfRule>
    <cfRule type="expression" dxfId="115" priority="17">
      <formula>#REF!=$U$4</formula>
    </cfRule>
    <cfRule type="expression" dxfId="114" priority="18">
      <formula>#REF!=$U$3</formula>
    </cfRule>
  </conditionalFormatting>
  <conditionalFormatting sqref="L16:N16 L22:N22 D28:N28 B28:B29 B34 D34:N34">
    <cfRule type="expression" dxfId="113" priority="16">
      <formula>#REF!=$U$5</formula>
    </cfRule>
  </conditionalFormatting>
  <conditionalFormatting sqref="U2:U6">
    <cfRule type="colorScale" priority="2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3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2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4">
    <dataValidation type="date" allowBlank="1" showInputMessage="1" showErrorMessage="1" sqref="L12:L16 L24:L28 L18:L22 L30:L34" xr:uid="{00000000-0002-0000-0300-000000000000}">
      <formula1>L12</formula1>
      <formula2>M12</formula2>
    </dataValidation>
    <dataValidation type="list" showInputMessage="1" showErrorMessage="1" sqref="A12:A16 A18:A22 A30:A34 A24:A28" xr:uid="{00000000-0002-0000-0300-000001000000}">
      <formula1>$U$2:$U$7</formula1>
    </dataValidation>
    <dataValidation type="list" showInputMessage="1" showErrorMessage="1" sqref="B3" xr:uid="{00000000-0002-0000-0300-000002000000}">
      <formula1>$W$2:$W$10</formula1>
    </dataValidation>
    <dataValidation type="list" showInputMessage="1" showErrorMessage="1" sqref="B12 B18 B24 B30" xr:uid="{00000000-0002-0000-0300-000003000000}">
      <formula1>$V$2:$V$7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X49"/>
  <sheetViews>
    <sheetView tabSelected="1" topLeftCell="H1" zoomScaleNormal="100" workbookViewId="0">
      <pane ySplit="11" topLeftCell="A26" activePane="bottomLeft" state="frozen"/>
      <selection pane="bottomLeft" activeCell="Q40" sqref="Q40:S41"/>
    </sheetView>
  </sheetViews>
  <sheetFormatPr baseColWidth="10" defaultRowHeight="15.75" x14ac:dyDescent="0.25"/>
  <cols>
    <col min="1" max="1" width="16.7109375" style="2" customWidth="1"/>
    <col min="2" max="2" width="15.140625" style="2" customWidth="1"/>
    <col min="3" max="3" width="16" style="2" customWidth="1"/>
    <col min="4" max="4" width="53.7109375" style="2" customWidth="1"/>
    <col min="5" max="5" width="32.140625" style="2" customWidth="1"/>
    <col min="6" max="6" width="55.140625" style="2" customWidth="1"/>
    <col min="7" max="7" width="46.42578125" style="2" customWidth="1"/>
    <col min="8" max="8" width="42.5703125" style="2" customWidth="1"/>
    <col min="9" max="9" width="18.140625" style="2" customWidth="1"/>
    <col min="10" max="11" width="13.42578125" style="2" customWidth="1"/>
    <col min="12" max="13" width="11.42578125" style="2"/>
    <col min="14" max="14" width="13.28515625" style="2" customWidth="1"/>
    <col min="15" max="15" width="15.140625" style="2" customWidth="1"/>
    <col min="16" max="16" width="17.140625" style="26" customWidth="1"/>
    <col min="17" max="17" width="17.5703125" style="26" customWidth="1"/>
    <col min="18" max="18" width="28.42578125" style="26" customWidth="1"/>
    <col min="19" max="19" width="38.28515625" style="26" customWidth="1"/>
    <col min="20" max="20" width="11.42578125" style="2"/>
    <col min="21" max="21" width="21.42578125" style="2" hidden="1" customWidth="1"/>
    <col min="22" max="22" width="19" style="2" hidden="1" customWidth="1"/>
    <col min="23" max="23" width="15.140625" style="2" hidden="1" customWidth="1"/>
    <col min="24" max="16384" width="11.42578125" style="2"/>
  </cols>
  <sheetData>
    <row r="1" spans="1:24" ht="21" customHeight="1" x14ac:dyDescent="0.25">
      <c r="A1" s="282" t="s">
        <v>97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4"/>
      <c r="U1" s="4"/>
    </row>
    <row r="2" spans="1:24" ht="30" customHeight="1" x14ac:dyDescent="0.25">
      <c r="A2" s="159" t="s">
        <v>98</v>
      </c>
      <c r="B2" s="98">
        <v>46114</v>
      </c>
      <c r="C2" s="295" t="s">
        <v>103</v>
      </c>
      <c r="D2" s="296"/>
      <c r="E2" s="172" t="s">
        <v>44</v>
      </c>
      <c r="F2" s="173" t="s">
        <v>119</v>
      </c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108</v>
      </c>
      <c r="V2" s="27" t="s">
        <v>106</v>
      </c>
      <c r="W2" s="11" t="s">
        <v>38</v>
      </c>
    </row>
    <row r="3" spans="1:24" ht="19.5" thickBot="1" x14ac:dyDescent="0.3">
      <c r="A3" s="161" t="s">
        <v>0</v>
      </c>
      <c r="B3" s="91" t="s">
        <v>29</v>
      </c>
      <c r="C3" s="235" t="s">
        <v>39</v>
      </c>
      <c r="D3" s="236"/>
      <c r="E3" s="235" t="s">
        <v>43</v>
      </c>
      <c r="F3" s="237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4" t="s">
        <v>18</v>
      </c>
      <c r="W3" s="13" t="s">
        <v>25</v>
      </c>
    </row>
    <row r="4" spans="1:24" ht="18" customHeight="1" thickTop="1" x14ac:dyDescent="0.25">
      <c r="A4" s="71" t="s">
        <v>40</v>
      </c>
      <c r="B4" s="19"/>
      <c r="C4" s="297" t="s">
        <v>113</v>
      </c>
      <c r="D4" s="298"/>
      <c r="E4" s="301" t="s">
        <v>120</v>
      </c>
      <c r="F4" s="293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4" t="s">
        <v>19</v>
      </c>
      <c r="W4" s="13" t="s">
        <v>30</v>
      </c>
    </row>
    <row r="5" spans="1:24" ht="22.5" customHeight="1" x14ac:dyDescent="0.25">
      <c r="A5" s="72"/>
      <c r="B5" s="73"/>
      <c r="C5" s="299"/>
      <c r="D5" s="300"/>
      <c r="E5" s="291"/>
      <c r="F5" s="29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4" t="s">
        <v>20</v>
      </c>
      <c r="W5" s="13" t="s">
        <v>27</v>
      </c>
      <c r="X5" s="12"/>
    </row>
    <row r="6" spans="1:24" x14ac:dyDescent="0.25">
      <c r="A6" s="72"/>
      <c r="B6" s="73"/>
      <c r="C6" s="245" t="s">
        <v>45</v>
      </c>
      <c r="D6" s="246"/>
      <c r="E6" s="243" t="s">
        <v>46</v>
      </c>
      <c r="F6" s="244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3"/>
      <c r="W6" s="13" t="s">
        <v>28</v>
      </c>
      <c r="X6" s="12"/>
    </row>
    <row r="7" spans="1:24" x14ac:dyDescent="0.25">
      <c r="A7" s="72"/>
      <c r="B7" s="73"/>
      <c r="C7" s="288" t="s">
        <v>114</v>
      </c>
      <c r="D7" s="289"/>
      <c r="E7" s="292" t="s">
        <v>159</v>
      </c>
      <c r="F7" s="293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W7" s="13" t="s">
        <v>31</v>
      </c>
      <c r="X7" s="12"/>
    </row>
    <row r="8" spans="1:24" ht="20.25" customHeight="1" x14ac:dyDescent="0.25">
      <c r="A8" s="72"/>
      <c r="B8" s="73"/>
      <c r="C8" s="290"/>
      <c r="D8" s="291"/>
      <c r="E8" s="290"/>
      <c r="F8" s="29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W8" s="13" t="s">
        <v>26</v>
      </c>
      <c r="X8" s="12"/>
    </row>
    <row r="9" spans="1:24" x14ac:dyDescent="0.25">
      <c r="A9" s="72"/>
      <c r="B9" s="73"/>
      <c r="C9" s="103"/>
      <c r="D9" s="104"/>
      <c r="E9" s="104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W9" s="13" t="s">
        <v>29</v>
      </c>
      <c r="X9" s="12"/>
    </row>
    <row r="10" spans="1:24" ht="15" x14ac:dyDescent="0.25">
      <c r="A10" s="105"/>
      <c r="B10" s="15"/>
      <c r="D10" s="93"/>
      <c r="E10" s="94"/>
      <c r="F10" s="204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5" t="s">
        <v>3</v>
      </c>
      <c r="M10" s="215" t="s">
        <v>4</v>
      </c>
      <c r="N10" s="213" t="s">
        <v>14</v>
      </c>
      <c r="O10" s="213" t="s">
        <v>10</v>
      </c>
      <c r="P10" s="210" t="s">
        <v>2</v>
      </c>
      <c r="Q10" s="210"/>
      <c r="R10" s="266" t="s">
        <v>96</v>
      </c>
      <c r="S10" s="267"/>
      <c r="X10" s="12"/>
    </row>
    <row r="11" spans="1:24" ht="25.5" customHeight="1" x14ac:dyDescent="0.25">
      <c r="A11" s="101" t="s">
        <v>11</v>
      </c>
      <c r="B11" s="92" t="s">
        <v>107</v>
      </c>
      <c r="C11" s="132" t="s">
        <v>101</v>
      </c>
      <c r="D11" s="229" t="s">
        <v>36</v>
      </c>
      <c r="E11" s="230"/>
      <c r="F11" s="256"/>
      <c r="G11" s="95" t="s">
        <v>23</v>
      </c>
      <c r="H11" s="96" t="s">
        <v>24</v>
      </c>
      <c r="I11" s="242"/>
      <c r="J11" s="240"/>
      <c r="K11" s="239"/>
      <c r="L11" s="216"/>
      <c r="M11" s="216"/>
      <c r="N11" s="214"/>
      <c r="O11" s="214"/>
      <c r="P11" s="187" t="s">
        <v>161</v>
      </c>
      <c r="Q11" s="188" t="s">
        <v>162</v>
      </c>
      <c r="R11" s="268"/>
      <c r="S11" s="269"/>
      <c r="X11" s="12"/>
    </row>
    <row r="12" spans="1:24" ht="55.5" customHeight="1" x14ac:dyDescent="0.25">
      <c r="A12" s="23" t="s">
        <v>108</v>
      </c>
      <c r="B12" s="274" t="s">
        <v>19</v>
      </c>
      <c r="C12" s="37">
        <v>1</v>
      </c>
      <c r="D12" s="280" t="s">
        <v>126</v>
      </c>
      <c r="E12" s="281"/>
      <c r="F12" s="178" t="s">
        <v>127</v>
      </c>
      <c r="G12" s="178" t="s">
        <v>128</v>
      </c>
      <c r="H12" s="178" t="s">
        <v>129</v>
      </c>
      <c r="I12" s="177" t="s">
        <v>119</v>
      </c>
      <c r="J12" s="177" t="s">
        <v>130</v>
      </c>
      <c r="K12" s="177" t="s">
        <v>130</v>
      </c>
      <c r="L12" s="162">
        <v>46063</v>
      </c>
      <c r="M12" s="162">
        <v>46358</v>
      </c>
      <c r="N12" s="165">
        <f>(M12-L12)/7</f>
        <v>42.142857142857146</v>
      </c>
      <c r="O12" s="166">
        <f ca="1">(M12-TODAY())/7</f>
        <v>7</v>
      </c>
      <c r="P12" s="58">
        <v>0</v>
      </c>
      <c r="Q12" s="58">
        <v>0</v>
      </c>
      <c r="R12" s="251" t="s">
        <v>131</v>
      </c>
      <c r="S12" s="251"/>
      <c r="X12" s="13"/>
    </row>
    <row r="13" spans="1:24" ht="46.5" customHeight="1" x14ac:dyDescent="0.25">
      <c r="A13" s="22" t="s">
        <v>108</v>
      </c>
      <c r="B13" s="275"/>
      <c r="C13" s="38">
        <v>1</v>
      </c>
      <c r="D13" s="280" t="s">
        <v>140</v>
      </c>
      <c r="E13" s="281"/>
      <c r="F13" s="178" t="s">
        <v>132</v>
      </c>
      <c r="G13" s="178" t="s">
        <v>138</v>
      </c>
      <c r="H13" s="178" t="s">
        <v>139</v>
      </c>
      <c r="I13" s="186" t="s">
        <v>119</v>
      </c>
      <c r="J13" s="186" t="s">
        <v>125</v>
      </c>
      <c r="K13" s="182">
        <v>2</v>
      </c>
      <c r="L13" s="162">
        <v>46063</v>
      </c>
      <c r="M13" s="162">
        <v>46358</v>
      </c>
      <c r="N13" s="165">
        <f t="shared" ref="N13:N28" si="0">(M13-L13)/7</f>
        <v>42.142857142857146</v>
      </c>
      <c r="O13" s="167">
        <f ca="1">(M13-TODAY())/7</f>
        <v>7</v>
      </c>
      <c r="P13" s="58">
        <v>0</v>
      </c>
      <c r="Q13" s="107">
        <v>0</v>
      </c>
      <c r="R13" s="251"/>
      <c r="S13" s="251"/>
      <c r="X13" s="13"/>
    </row>
    <row r="14" spans="1:24" ht="48" customHeight="1" x14ac:dyDescent="0.25">
      <c r="A14" s="21" t="s">
        <v>108</v>
      </c>
      <c r="B14" s="275"/>
      <c r="C14" s="38">
        <v>1</v>
      </c>
      <c r="D14" s="284" t="s">
        <v>165</v>
      </c>
      <c r="E14" s="285"/>
      <c r="F14" s="191" t="s">
        <v>168</v>
      </c>
      <c r="G14" s="8"/>
      <c r="H14" s="8"/>
      <c r="I14" s="186" t="s">
        <v>167</v>
      </c>
      <c r="J14" s="186" t="s">
        <v>166</v>
      </c>
      <c r="K14" s="186">
        <v>10</v>
      </c>
      <c r="L14" s="163"/>
      <c r="M14" s="163"/>
      <c r="N14" s="165">
        <f t="shared" si="0"/>
        <v>0</v>
      </c>
      <c r="O14" s="167">
        <f ca="1">(M14-TODAY())/7</f>
        <v>-6615.5714285714284</v>
      </c>
      <c r="P14" s="58">
        <v>50000</v>
      </c>
      <c r="Q14" s="107">
        <v>500000</v>
      </c>
      <c r="R14" s="251"/>
      <c r="S14" s="251"/>
      <c r="T14" s="6"/>
      <c r="U14" s="6"/>
      <c r="V14" s="7"/>
      <c r="W14" s="6"/>
      <c r="X14" s="6"/>
    </row>
    <row r="15" spans="1:24" ht="33" customHeight="1" x14ac:dyDescent="0.25">
      <c r="A15" s="21" t="s">
        <v>108</v>
      </c>
      <c r="B15" s="275"/>
      <c r="C15" s="38">
        <v>1</v>
      </c>
      <c r="D15" s="286"/>
      <c r="E15" s="287"/>
      <c r="G15" s="8"/>
      <c r="H15" s="8"/>
      <c r="I15" s="8"/>
      <c r="J15" s="8"/>
      <c r="K15" s="8"/>
      <c r="L15" s="163"/>
      <c r="M15" s="163"/>
      <c r="N15" s="165">
        <f t="shared" si="0"/>
        <v>0</v>
      </c>
      <c r="O15" s="167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</row>
    <row r="16" spans="1:24" ht="31.5" customHeight="1" thickBot="1" x14ac:dyDescent="0.3">
      <c r="A16" s="23" t="s">
        <v>108</v>
      </c>
      <c r="B16" s="276"/>
      <c r="C16" s="38"/>
      <c r="D16" s="278"/>
      <c r="E16" s="279"/>
      <c r="F16" s="8"/>
      <c r="G16" s="8"/>
      <c r="H16" s="8"/>
      <c r="I16" s="8"/>
      <c r="J16" s="8"/>
      <c r="K16" s="8"/>
      <c r="L16" s="163"/>
      <c r="M16" s="163"/>
      <c r="N16" s="165">
        <f t="shared" si="0"/>
        <v>0</v>
      </c>
      <c r="O16" s="167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</row>
    <row r="17" spans="1:24" ht="0.75" customHeight="1" thickTop="1" x14ac:dyDescent="0.25">
      <c r="A17" s="41"/>
      <c r="B17" s="31"/>
      <c r="C17" s="34"/>
      <c r="D17" s="179"/>
      <c r="E17" s="180"/>
      <c r="F17" s="10"/>
      <c r="G17" s="10"/>
      <c r="H17" s="10"/>
      <c r="I17" s="9"/>
      <c r="J17" s="9"/>
      <c r="K17" s="9"/>
      <c r="L17" s="164"/>
      <c r="M17" s="164"/>
      <c r="N17" s="168"/>
      <c r="O17" s="169"/>
      <c r="P17" s="58">
        <v>0</v>
      </c>
      <c r="Q17" s="107"/>
      <c r="R17" s="251"/>
      <c r="S17" s="251"/>
      <c r="T17" s="6"/>
      <c r="U17" s="6"/>
      <c r="V17" s="6"/>
      <c r="W17" s="6"/>
      <c r="X17" s="6"/>
    </row>
    <row r="18" spans="1:24" ht="30.75" customHeight="1" x14ac:dyDescent="0.25">
      <c r="A18" s="21" t="s">
        <v>33</v>
      </c>
      <c r="B18" s="274" t="s">
        <v>19</v>
      </c>
      <c r="C18" s="38">
        <v>2</v>
      </c>
      <c r="D18" s="280" t="s">
        <v>115</v>
      </c>
      <c r="E18" s="281"/>
      <c r="F18" s="181" t="s">
        <v>141</v>
      </c>
      <c r="G18" s="178" t="s">
        <v>133</v>
      </c>
      <c r="H18" s="178" t="s">
        <v>134</v>
      </c>
      <c r="I18" s="183" t="s">
        <v>135</v>
      </c>
      <c r="J18" s="184" t="s">
        <v>137</v>
      </c>
      <c r="K18" s="181" t="s">
        <v>136</v>
      </c>
      <c r="L18" s="163"/>
      <c r="M18" s="163"/>
      <c r="N18" s="165">
        <f t="shared" si="0"/>
        <v>0</v>
      </c>
      <c r="O18" s="167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</row>
    <row r="19" spans="1:24" ht="45.75" customHeight="1" x14ac:dyDescent="0.25">
      <c r="A19" s="21" t="s">
        <v>33</v>
      </c>
      <c r="B19" s="275"/>
      <c r="C19" s="38">
        <v>2</v>
      </c>
      <c r="D19" s="280" t="s">
        <v>117</v>
      </c>
      <c r="E19" s="281"/>
      <c r="F19" s="181" t="s">
        <v>142</v>
      </c>
      <c r="G19" s="8"/>
      <c r="H19" s="8"/>
      <c r="I19" s="8"/>
      <c r="J19" s="8"/>
      <c r="K19" s="8"/>
      <c r="L19" s="163"/>
      <c r="M19" s="163"/>
      <c r="N19" s="165">
        <f t="shared" si="0"/>
        <v>0</v>
      </c>
      <c r="O19" s="167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</row>
    <row r="20" spans="1:24" ht="50.25" customHeight="1" x14ac:dyDescent="0.25">
      <c r="A20" s="25" t="s">
        <v>33</v>
      </c>
      <c r="B20" s="275"/>
      <c r="C20" s="38">
        <v>2</v>
      </c>
      <c r="D20" s="280" t="s">
        <v>116</v>
      </c>
      <c r="E20" s="281"/>
      <c r="F20" s="178" t="s">
        <v>147</v>
      </c>
      <c r="G20" s="181" t="s">
        <v>146</v>
      </c>
      <c r="H20" s="178" t="s">
        <v>145</v>
      </c>
      <c r="I20" s="186" t="s">
        <v>135</v>
      </c>
      <c r="J20" s="186" t="s">
        <v>153</v>
      </c>
      <c r="K20" s="181" t="s">
        <v>154</v>
      </c>
      <c r="L20" s="163">
        <v>46075</v>
      </c>
      <c r="M20" s="163">
        <v>46372</v>
      </c>
      <c r="N20" s="165">
        <f t="shared" si="0"/>
        <v>42.428571428571431</v>
      </c>
      <c r="O20" s="167">
        <f t="shared" ca="1" si="1"/>
        <v>9</v>
      </c>
      <c r="P20" s="58">
        <v>2000</v>
      </c>
      <c r="Q20" s="107">
        <v>660000</v>
      </c>
      <c r="R20" s="251"/>
      <c r="S20" s="251"/>
      <c r="T20" s="6"/>
      <c r="U20" s="6"/>
      <c r="V20" s="6"/>
      <c r="W20" s="6"/>
      <c r="X20" s="6"/>
    </row>
    <row r="21" spans="1:24" ht="20.25" customHeight="1" x14ac:dyDescent="0.25">
      <c r="A21" s="25" t="s">
        <v>33</v>
      </c>
      <c r="B21" s="275"/>
      <c r="C21" s="38">
        <v>2</v>
      </c>
      <c r="D21" s="280" t="s">
        <v>155</v>
      </c>
      <c r="E21" s="281"/>
      <c r="F21" s="181" t="s">
        <v>156</v>
      </c>
      <c r="G21" s="8"/>
      <c r="H21" s="8"/>
      <c r="I21" s="8"/>
      <c r="J21" s="8"/>
      <c r="K21" s="8"/>
      <c r="L21" s="163"/>
      <c r="M21" s="163"/>
      <c r="N21" s="165">
        <f t="shared" si="0"/>
        <v>0</v>
      </c>
      <c r="O21" s="167">
        <f t="shared" ca="1" si="1"/>
        <v>-6615.5714285714284</v>
      </c>
      <c r="P21" s="58">
        <v>300000</v>
      </c>
      <c r="Q21" s="107">
        <v>3300000</v>
      </c>
      <c r="R21" s="251"/>
      <c r="S21" s="251"/>
      <c r="T21" s="6"/>
      <c r="U21" s="6"/>
      <c r="V21" s="6"/>
      <c r="W21" s="6"/>
      <c r="X21" s="6"/>
    </row>
    <row r="22" spans="1:24" ht="45" customHeight="1" x14ac:dyDescent="0.25">
      <c r="A22" s="25" t="s">
        <v>33</v>
      </c>
      <c r="B22" s="275"/>
      <c r="C22" s="38">
        <v>2</v>
      </c>
      <c r="D22" s="280" t="s">
        <v>163</v>
      </c>
      <c r="E22" s="281"/>
      <c r="F22" s="181" t="s">
        <v>164</v>
      </c>
      <c r="G22" s="8"/>
      <c r="H22" s="8"/>
      <c r="I22" s="186" t="s">
        <v>149</v>
      </c>
      <c r="J22" s="186" t="s">
        <v>150</v>
      </c>
      <c r="K22" s="182">
        <v>5</v>
      </c>
      <c r="L22" s="163">
        <v>46075</v>
      </c>
      <c r="M22" s="163">
        <v>46372</v>
      </c>
      <c r="N22" s="165">
        <f t="shared" si="0"/>
        <v>42.428571428571431</v>
      </c>
      <c r="O22" s="167">
        <f ca="1">(M22-TODAY())/7</f>
        <v>9</v>
      </c>
      <c r="P22" s="58">
        <v>60000</v>
      </c>
      <c r="Q22" s="107">
        <v>300000</v>
      </c>
      <c r="R22" s="251"/>
      <c r="S22" s="251"/>
      <c r="T22" s="6"/>
      <c r="U22" s="6"/>
      <c r="V22" s="6"/>
      <c r="W22" s="6"/>
      <c r="X22" s="6"/>
    </row>
    <row r="23" spans="1:24" ht="0.75" customHeight="1" x14ac:dyDescent="0.25">
      <c r="A23" s="24"/>
      <c r="B23" s="31"/>
      <c r="C23" s="34"/>
      <c r="D23" s="179"/>
      <c r="E23" s="180"/>
      <c r="F23" s="10"/>
      <c r="G23" s="10"/>
      <c r="H23" s="10"/>
      <c r="I23" s="9"/>
      <c r="J23" s="9"/>
      <c r="K23" s="9"/>
      <c r="L23" s="164"/>
      <c r="M23" s="164"/>
      <c r="N23" s="168"/>
      <c r="O23" s="169"/>
      <c r="P23" s="58">
        <v>0</v>
      </c>
      <c r="Q23" s="107"/>
      <c r="R23" s="251"/>
      <c r="S23" s="251"/>
      <c r="T23" s="6"/>
      <c r="U23" s="6"/>
      <c r="V23" s="6"/>
      <c r="W23" s="6"/>
      <c r="X23" s="6"/>
    </row>
    <row r="24" spans="1:24" ht="51" customHeight="1" x14ac:dyDescent="0.25">
      <c r="A24" s="21" t="s">
        <v>33</v>
      </c>
      <c r="B24" s="274" t="s">
        <v>20</v>
      </c>
      <c r="C24" s="38">
        <v>3</v>
      </c>
      <c r="D24" s="280" t="s">
        <v>123</v>
      </c>
      <c r="E24" s="281"/>
      <c r="F24" s="185" t="s">
        <v>143</v>
      </c>
      <c r="G24" s="176" t="s">
        <v>144</v>
      </c>
      <c r="H24" s="176" t="s">
        <v>124</v>
      </c>
      <c r="I24" s="8"/>
      <c r="J24" s="8"/>
      <c r="K24" s="8"/>
      <c r="L24" s="163"/>
      <c r="M24" s="163"/>
      <c r="N24" s="165">
        <f t="shared" si="0"/>
        <v>0</v>
      </c>
      <c r="O24" s="167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</row>
    <row r="25" spans="1:24" ht="45" customHeight="1" x14ac:dyDescent="0.25">
      <c r="A25" s="21" t="s">
        <v>33</v>
      </c>
      <c r="B25" s="275"/>
      <c r="C25" s="38">
        <v>3</v>
      </c>
      <c r="D25" s="280" t="s">
        <v>151</v>
      </c>
      <c r="E25" s="281"/>
      <c r="F25" s="181" t="s">
        <v>148</v>
      </c>
      <c r="G25" s="181"/>
      <c r="H25" s="8"/>
      <c r="I25" s="186" t="s">
        <v>149</v>
      </c>
      <c r="J25" s="186" t="s">
        <v>150</v>
      </c>
      <c r="K25" s="182">
        <v>5</v>
      </c>
      <c r="L25" s="162">
        <v>46063</v>
      </c>
      <c r="M25" s="162">
        <v>46358</v>
      </c>
      <c r="N25" s="165">
        <f t="shared" si="0"/>
        <v>42.142857142857146</v>
      </c>
      <c r="O25" s="167">
        <f t="shared" ca="1" si="1"/>
        <v>7</v>
      </c>
      <c r="P25" s="58">
        <v>30000</v>
      </c>
      <c r="Q25" s="107">
        <v>150000</v>
      </c>
      <c r="R25" s="251"/>
      <c r="S25" s="251"/>
      <c r="T25" s="6"/>
      <c r="U25" s="6"/>
      <c r="V25" s="6"/>
      <c r="W25" s="6"/>
      <c r="X25" s="6"/>
    </row>
    <row r="26" spans="1:24" ht="33.75" customHeight="1" x14ac:dyDescent="0.25">
      <c r="A26" s="21" t="s">
        <v>33</v>
      </c>
      <c r="B26" s="275"/>
      <c r="C26" s="38">
        <v>3</v>
      </c>
      <c r="D26" s="280" t="s">
        <v>152</v>
      </c>
      <c r="E26" s="281"/>
      <c r="F26" s="8"/>
      <c r="G26" s="8"/>
      <c r="H26" s="8"/>
      <c r="I26" s="8"/>
      <c r="J26" s="8"/>
      <c r="K26" s="8"/>
      <c r="L26" s="163"/>
      <c r="M26" s="163"/>
      <c r="N26" s="165">
        <f t="shared" si="0"/>
        <v>0</v>
      </c>
      <c r="O26" s="167">
        <f t="shared" ca="1" si="1"/>
        <v>-6615.5714285714284</v>
      </c>
      <c r="P26" s="58">
        <v>0</v>
      </c>
      <c r="Q26" s="107">
        <v>0</v>
      </c>
      <c r="R26" s="251"/>
      <c r="S26" s="251"/>
      <c r="T26" s="6"/>
      <c r="U26" s="6"/>
      <c r="V26" s="6"/>
      <c r="W26" s="6"/>
      <c r="X26" s="6"/>
    </row>
    <row r="27" spans="1:24" x14ac:dyDescent="0.25">
      <c r="A27" s="21" t="s">
        <v>33</v>
      </c>
      <c r="B27" s="275"/>
      <c r="C27" s="38"/>
      <c r="D27" s="280" t="s">
        <v>121</v>
      </c>
      <c r="E27" s="281"/>
      <c r="F27" s="8"/>
      <c r="G27" s="8"/>
      <c r="H27" s="8"/>
      <c r="I27" s="8"/>
      <c r="J27" s="8"/>
      <c r="K27" s="8"/>
      <c r="L27" s="163"/>
      <c r="M27" s="163"/>
      <c r="N27" s="165">
        <f t="shared" si="0"/>
        <v>0</v>
      </c>
      <c r="O27" s="167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</row>
    <row r="28" spans="1:24" ht="33" customHeight="1" x14ac:dyDescent="0.25">
      <c r="A28" s="21" t="s">
        <v>33</v>
      </c>
      <c r="B28" s="277"/>
      <c r="C28" s="3">
        <v>3</v>
      </c>
      <c r="D28" s="280" t="s">
        <v>173</v>
      </c>
      <c r="E28" s="281"/>
      <c r="F28" s="8"/>
      <c r="G28" s="8"/>
      <c r="H28" s="8"/>
      <c r="I28" s="183" t="s">
        <v>135</v>
      </c>
      <c r="J28" s="182">
        <v>1</v>
      </c>
      <c r="K28" s="182">
        <v>1</v>
      </c>
      <c r="L28" s="163"/>
      <c r="M28" s="163"/>
      <c r="N28" s="165">
        <f t="shared" si="0"/>
        <v>0</v>
      </c>
      <c r="O28" s="167">
        <f t="shared" ca="1" si="1"/>
        <v>-6615.5714285714284</v>
      </c>
      <c r="P28" s="58">
        <v>0</v>
      </c>
      <c r="Q28" s="107">
        <v>6000000</v>
      </c>
      <c r="R28" s="251"/>
      <c r="S28" s="251"/>
      <c r="T28" s="6"/>
      <c r="U28" s="6"/>
      <c r="V28" s="6"/>
      <c r="W28" s="6"/>
      <c r="X28" s="6"/>
    </row>
    <row r="29" spans="1:24" ht="0.75" customHeight="1" x14ac:dyDescent="0.25">
      <c r="A29" s="24"/>
      <c r="B29" s="31"/>
      <c r="C29" s="34"/>
      <c r="D29" s="189"/>
      <c r="E29" s="190"/>
      <c r="F29" s="10"/>
      <c r="G29" s="10"/>
      <c r="H29" s="10"/>
      <c r="I29" s="9"/>
      <c r="J29" s="9"/>
      <c r="K29" s="9"/>
      <c r="L29" s="164"/>
      <c r="M29" s="164"/>
      <c r="N29" s="168"/>
      <c r="O29" s="169"/>
      <c r="P29" s="58">
        <v>0</v>
      </c>
      <c r="Q29" s="107"/>
      <c r="R29" s="251"/>
      <c r="S29" s="251"/>
      <c r="T29" s="6"/>
      <c r="U29" s="6"/>
      <c r="V29" s="6"/>
      <c r="W29" s="6"/>
      <c r="X29" s="6"/>
    </row>
    <row r="30" spans="1:24" ht="29.25" customHeight="1" x14ac:dyDescent="0.25">
      <c r="A30" s="21" t="s">
        <v>33</v>
      </c>
      <c r="B30" s="274" t="s">
        <v>19</v>
      </c>
      <c r="C30" s="33">
        <v>4</v>
      </c>
      <c r="D30" s="280" t="s">
        <v>118</v>
      </c>
      <c r="E30" s="281"/>
      <c r="F30" s="181" t="s">
        <v>157</v>
      </c>
      <c r="G30" s="8"/>
      <c r="H30" s="8"/>
      <c r="I30" s="8"/>
      <c r="J30" s="8"/>
      <c r="K30" s="8"/>
      <c r="L30" s="163"/>
      <c r="M30" s="163"/>
      <c r="N30" s="165">
        <f t="shared" ref="N30:N34" si="2">(M30-L30)/7</f>
        <v>0</v>
      </c>
      <c r="O30" s="167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</row>
    <row r="31" spans="1:24" ht="33.75" customHeight="1" x14ac:dyDescent="0.25">
      <c r="A31" s="21" t="s">
        <v>33</v>
      </c>
      <c r="B31" s="275"/>
      <c r="C31" s="33">
        <v>4</v>
      </c>
      <c r="D31" s="280" t="s">
        <v>122</v>
      </c>
      <c r="E31" s="281"/>
      <c r="F31" s="181" t="s">
        <v>158</v>
      </c>
      <c r="G31" s="8"/>
      <c r="H31" s="8"/>
      <c r="I31" s="8"/>
      <c r="J31" s="8"/>
      <c r="K31" s="8"/>
      <c r="L31" s="163"/>
      <c r="M31" s="163"/>
      <c r="N31" s="165">
        <f t="shared" si="2"/>
        <v>0</v>
      </c>
      <c r="O31" s="167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</row>
    <row r="32" spans="1:24" ht="42.75" customHeight="1" x14ac:dyDescent="0.25">
      <c r="A32" s="21" t="s">
        <v>33</v>
      </c>
      <c r="B32" s="275"/>
      <c r="C32" s="33">
        <v>4</v>
      </c>
      <c r="D32" s="280" t="s">
        <v>174</v>
      </c>
      <c r="E32" s="281"/>
      <c r="F32" s="178" t="s">
        <v>160</v>
      </c>
      <c r="G32" s="8"/>
      <c r="H32" s="8"/>
      <c r="I32" s="8"/>
      <c r="J32" s="8"/>
      <c r="K32" s="8"/>
      <c r="L32" s="163"/>
      <c r="M32" s="163"/>
      <c r="N32" s="165">
        <f t="shared" si="2"/>
        <v>0</v>
      </c>
      <c r="O32" s="167">
        <f t="shared" ca="1" si="3"/>
        <v>-6615.5714285714284</v>
      </c>
      <c r="P32" s="58">
        <v>30000</v>
      </c>
      <c r="Q32" s="107">
        <v>300000</v>
      </c>
      <c r="R32" s="251"/>
      <c r="S32" s="251"/>
      <c r="T32" s="6"/>
      <c r="U32" s="6"/>
      <c r="V32" s="6"/>
      <c r="W32" s="6"/>
      <c r="X32" s="6"/>
    </row>
    <row r="33" spans="1:24" x14ac:dyDescent="0.25">
      <c r="A33" s="21" t="s">
        <v>33</v>
      </c>
      <c r="B33" s="275"/>
      <c r="C33" s="33"/>
      <c r="D33" s="278"/>
      <c r="E33" s="279"/>
      <c r="F33" s="8"/>
      <c r="G33" s="8"/>
      <c r="H33" s="8"/>
      <c r="I33" s="8"/>
      <c r="J33" s="8"/>
      <c r="K33" s="8"/>
      <c r="L33" s="163"/>
      <c r="M33" s="163"/>
      <c r="N33" s="165">
        <f t="shared" si="2"/>
        <v>0</v>
      </c>
      <c r="O33" s="167">
        <f t="shared" ca="1" si="3"/>
        <v>-6615.5714285714284</v>
      </c>
      <c r="P33" s="58"/>
      <c r="Q33" s="107">
        <v>0</v>
      </c>
      <c r="R33" s="251"/>
      <c r="S33" s="251"/>
      <c r="T33" s="6"/>
      <c r="U33" s="6"/>
      <c r="V33" s="6"/>
      <c r="W33" s="6"/>
      <c r="X33" s="6"/>
    </row>
    <row r="34" spans="1:24" x14ac:dyDescent="0.25">
      <c r="A34" s="21" t="s">
        <v>33</v>
      </c>
      <c r="B34" s="277"/>
      <c r="C34" s="33"/>
      <c r="D34" s="278"/>
      <c r="E34" s="279"/>
      <c r="F34" s="8"/>
      <c r="G34" s="8"/>
      <c r="H34" s="8"/>
      <c r="I34" s="8"/>
      <c r="J34" s="8"/>
      <c r="K34" s="8"/>
      <c r="L34" s="163"/>
      <c r="M34" s="163"/>
      <c r="N34" s="165">
        <f t="shared" si="2"/>
        <v>0</v>
      </c>
      <c r="O34" s="167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</row>
    <row r="35" spans="1:24" x14ac:dyDescent="0.25">
      <c r="A35" s="15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42"/>
      <c r="O35" s="42"/>
      <c r="P35" s="192">
        <f>SUM(P12:P34)</f>
        <v>472000</v>
      </c>
      <c r="Q35" s="193">
        <f>SUM(Q12:Q34)</f>
        <v>11210000</v>
      </c>
      <c r="R35" s="19"/>
      <c r="S35" s="19"/>
      <c r="T35" s="3"/>
    </row>
    <row r="36" spans="1:24" ht="15" x14ac:dyDescent="0.25">
      <c r="A36" s="15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42"/>
      <c r="O36" s="42"/>
      <c r="P36" s="15"/>
      <c r="Q36" s="15"/>
      <c r="R36" s="19"/>
      <c r="S36" s="19"/>
      <c r="T36" s="3"/>
    </row>
    <row r="37" spans="1:24" ht="15" x14ac:dyDescent="0.25">
      <c r="A37" s="15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42"/>
      <c r="O37" s="42"/>
      <c r="P37" s="15"/>
      <c r="Q37" s="15"/>
      <c r="R37" s="19"/>
      <c r="S37" s="19"/>
      <c r="T37" s="3"/>
    </row>
    <row r="38" spans="1:24" ht="15" x14ac:dyDescent="0.25">
      <c r="C38" s="1"/>
      <c r="N38"/>
      <c r="O38"/>
      <c r="P38" s="2"/>
      <c r="Q38" s="2"/>
      <c r="R38" s="3"/>
      <c r="S38" s="3"/>
      <c r="T38" s="3"/>
    </row>
    <row r="39" spans="1:24" ht="15" x14ac:dyDescent="0.25">
      <c r="C39" s="1"/>
      <c r="P39" s="2"/>
      <c r="Q39" s="2"/>
      <c r="R39" s="3"/>
      <c r="S39" s="3"/>
      <c r="T39" s="3"/>
    </row>
    <row r="40" spans="1:24" ht="15" x14ac:dyDescent="0.25">
      <c r="C40" s="1"/>
      <c r="P40" s="2"/>
      <c r="Q40" s="2"/>
      <c r="R40" s="3"/>
      <c r="S40" s="3"/>
      <c r="T40" s="3"/>
    </row>
    <row r="41" spans="1:24" ht="15" x14ac:dyDescent="0.25">
      <c r="C41" s="1"/>
      <c r="P41" s="2"/>
      <c r="Q41" s="2"/>
      <c r="R41" s="3"/>
      <c r="S41" s="3"/>
      <c r="T41" s="3"/>
    </row>
    <row r="42" spans="1:24" ht="15" x14ac:dyDescent="0.25">
      <c r="C42" s="1"/>
      <c r="P42" s="2"/>
      <c r="Q42" s="2"/>
      <c r="R42" s="3"/>
      <c r="S42" s="3"/>
      <c r="T42" s="3"/>
    </row>
    <row r="43" spans="1:24" ht="15" x14ac:dyDescent="0.25">
      <c r="C43" s="1"/>
      <c r="P43" s="2"/>
      <c r="Q43" s="2"/>
      <c r="R43" s="3"/>
      <c r="S43" s="3"/>
      <c r="T43" s="3"/>
    </row>
    <row r="44" spans="1:24" ht="15" x14ac:dyDescent="0.25">
      <c r="P44" s="2"/>
      <c r="Q44" s="2"/>
      <c r="R44" s="2"/>
      <c r="S44" s="2"/>
    </row>
    <row r="45" spans="1:24" ht="15" x14ac:dyDescent="0.25">
      <c r="B45" s="28"/>
      <c r="P45" s="2"/>
      <c r="Q45" s="2"/>
      <c r="R45" s="2"/>
      <c r="S45" s="2"/>
    </row>
    <row r="46" spans="1:24" ht="15" x14ac:dyDescent="0.25">
      <c r="B46" s="28"/>
      <c r="P46" s="2"/>
      <c r="Q46" s="2"/>
      <c r="R46" s="2"/>
      <c r="S46" s="2"/>
    </row>
    <row r="47" spans="1:24" ht="15" x14ac:dyDescent="0.25">
      <c r="B47" s="28"/>
      <c r="P47" s="2"/>
      <c r="Q47" s="2"/>
      <c r="R47" s="2"/>
      <c r="S47" s="2"/>
    </row>
    <row r="48" spans="1:24" ht="15" x14ac:dyDescent="0.25">
      <c r="B48" s="28"/>
      <c r="P48" s="2"/>
      <c r="Q48" s="2"/>
      <c r="R48" s="2"/>
      <c r="S48" s="2"/>
    </row>
    <row r="49" spans="2:19" ht="15" x14ac:dyDescent="0.25">
      <c r="B49" s="28"/>
      <c r="P49" s="2"/>
      <c r="Q49" s="2"/>
      <c r="R49" s="2"/>
      <c r="S49" s="2"/>
    </row>
  </sheetData>
  <sheetProtection algorithmName="SHA-512" hashValue="4yYcc9N1gD5e3JmPTS7lg8XRXm7M6yd+nZawAJEj69W7OxiJ/qb9kKRIFxJszwa06onIiSErprdprJb6lL5r9g==" saltValue="8TZa4j4ZIm5hIULnZwMw1A==" spinCount="100000" sheet="1" objects="1" scenarios="1"/>
  <mergeCells count="70">
    <mergeCell ref="C2:D2"/>
    <mergeCell ref="C3:D3"/>
    <mergeCell ref="E3:F3"/>
    <mergeCell ref="C4:D5"/>
    <mergeCell ref="E4:F5"/>
    <mergeCell ref="C6:D6"/>
    <mergeCell ref="E6:F6"/>
    <mergeCell ref="C7:D8"/>
    <mergeCell ref="E7:F8"/>
    <mergeCell ref="F9:H9"/>
    <mergeCell ref="O10:O11"/>
    <mergeCell ref="P10:Q10"/>
    <mergeCell ref="R10:S11"/>
    <mergeCell ref="D11:E11"/>
    <mergeCell ref="R12:S12"/>
    <mergeCell ref="I10:I11"/>
    <mergeCell ref="J10:J11"/>
    <mergeCell ref="K10:K11"/>
    <mergeCell ref="L10:L11"/>
    <mergeCell ref="M10:M11"/>
    <mergeCell ref="N10:N11"/>
    <mergeCell ref="F10:F11"/>
    <mergeCell ref="G10:H10"/>
    <mergeCell ref="R19:S19"/>
    <mergeCell ref="D12:E12"/>
    <mergeCell ref="R13:S13"/>
    <mergeCell ref="D13:E13"/>
    <mergeCell ref="R14:S14"/>
    <mergeCell ref="R15:S15"/>
    <mergeCell ref="D16:E16"/>
    <mergeCell ref="R16:S16"/>
    <mergeCell ref="R17:S17"/>
    <mergeCell ref="D18:E18"/>
    <mergeCell ref="R18:S18"/>
    <mergeCell ref="D14:E14"/>
    <mergeCell ref="D15:E15"/>
    <mergeCell ref="R23:S23"/>
    <mergeCell ref="D20:E20"/>
    <mergeCell ref="R24:S24"/>
    <mergeCell ref="D25:E25"/>
    <mergeCell ref="R25:S25"/>
    <mergeCell ref="D24:E24"/>
    <mergeCell ref="R20:S20"/>
    <mergeCell ref="D21:E21"/>
    <mergeCell ref="R21:S21"/>
    <mergeCell ref="D22:E22"/>
    <mergeCell ref="R22:S22"/>
    <mergeCell ref="R34:S34"/>
    <mergeCell ref="A1:S1"/>
    <mergeCell ref="D31:E31"/>
    <mergeCell ref="R31:S31"/>
    <mergeCell ref="D32:E32"/>
    <mergeCell ref="R32:S32"/>
    <mergeCell ref="D33:E33"/>
    <mergeCell ref="R33:S33"/>
    <mergeCell ref="R27:S27"/>
    <mergeCell ref="D28:E28"/>
    <mergeCell ref="R28:S28"/>
    <mergeCell ref="R29:S29"/>
    <mergeCell ref="D30:E30"/>
    <mergeCell ref="R30:S30"/>
    <mergeCell ref="D26:E26"/>
    <mergeCell ref="R26:S26"/>
    <mergeCell ref="B12:B16"/>
    <mergeCell ref="B18:B22"/>
    <mergeCell ref="B24:B28"/>
    <mergeCell ref="B30:B34"/>
    <mergeCell ref="D34:E34"/>
    <mergeCell ref="D19:E19"/>
    <mergeCell ref="D27:E27"/>
  </mergeCells>
  <conditionalFormatting sqref="B17 D17:K17 N17:O17 B23 D23:K23 N23:O23 B29 D29:K29 N29:O29">
    <cfRule type="expression" dxfId="112" priority="31">
      <formula>#REF!=$U$4</formula>
    </cfRule>
    <cfRule type="expression" dxfId="111" priority="34">
      <formula>#REF!=$U$3</formula>
    </cfRule>
  </conditionalFormatting>
  <conditionalFormatting sqref="B17 D17:K17 N17:O17 B23 D23:K23 N23:O23 D29:K29 N29:O29 B29">
    <cfRule type="expression" dxfId="110" priority="30">
      <formula>#REF!=$U$6</formula>
    </cfRule>
  </conditionalFormatting>
  <conditionalFormatting sqref="C11">
    <cfRule type="expression" dxfId="109" priority="25">
      <formula>$A10=$U$3</formula>
    </cfRule>
    <cfRule type="expression" dxfId="108" priority="26">
      <formula>$A10=$U$4</formula>
    </cfRule>
    <cfRule type="expression" dxfId="107" priority="27">
      <formula>$A10=$U$5</formula>
    </cfRule>
    <cfRule type="expression" dxfId="106" priority="28">
      <formula>$A10=$U$6</formula>
    </cfRule>
    <cfRule type="expression" dxfId="105" priority="24">
      <formula>$A10=$U$7</formula>
    </cfRule>
  </conditionalFormatting>
  <conditionalFormatting sqref="D13">
    <cfRule type="expression" dxfId="104" priority="1163">
      <formula>$A14=$U$7</formula>
    </cfRule>
    <cfRule type="expression" dxfId="103" priority="1162">
      <formula>$A14=$U$6</formula>
    </cfRule>
    <cfRule type="expression" dxfId="102" priority="1161">
      <formula>$A14=$U$5</formula>
    </cfRule>
    <cfRule type="expression" dxfId="101" priority="1160">
      <formula>$A14=$U$4</formula>
    </cfRule>
    <cfRule type="expression" dxfId="100" priority="1159">
      <formula>$A14=$U$3</formula>
    </cfRule>
  </conditionalFormatting>
  <conditionalFormatting sqref="D16:D19 D17:O17 B17:B18 D21:D26 D23:O23 B23:B24 D29:O29 B29:B30 F16:O16 F21:O22 F24:O28 D28 D30:D34 F30:O34 D10:O11 B10:B12 A10:A34 D12:D13 F12:O13 C12:C34 G14:O15 F18:O19 G20:O20">
    <cfRule type="expression" dxfId="99" priority="75">
      <formula>$A10=$U$7</formula>
    </cfRule>
  </conditionalFormatting>
  <conditionalFormatting sqref="D20 F20">
    <cfRule type="expression" dxfId="98" priority="892">
      <formula>$A15=$U$3</formula>
    </cfRule>
    <cfRule type="expression" dxfId="97" priority="894">
      <formula>$A15=$U$5</formula>
    </cfRule>
    <cfRule type="expression" dxfId="96" priority="893">
      <formula>$A15=$U$4</formula>
    </cfRule>
    <cfRule type="expression" dxfId="95" priority="908">
      <formula>$A15=$U$7</formula>
    </cfRule>
    <cfRule type="expression" dxfId="94" priority="895">
      <formula>$A15=$U$6</formula>
    </cfRule>
  </conditionalFormatting>
  <conditionalFormatting sqref="D20">
    <cfRule type="expression" dxfId="93" priority="781">
      <formula>$A24=$U$7</formula>
    </cfRule>
    <cfRule type="expression" dxfId="92" priority="767">
      <formula>$A24=$U$5</formula>
    </cfRule>
    <cfRule type="expression" dxfId="91" priority="765">
      <formula>$A24=$U$3</formula>
    </cfRule>
    <cfRule type="expression" dxfId="90" priority="766">
      <formula>$A24=$U$4</formula>
    </cfRule>
    <cfRule type="expression" dxfId="89" priority="768">
      <formula>$A24=$U$6</formula>
    </cfRule>
  </conditionalFormatting>
  <conditionalFormatting sqref="D24 D27">
    <cfRule type="expression" dxfId="88" priority="792">
      <formula>$A12=$U$5</formula>
    </cfRule>
    <cfRule type="expression" dxfId="87" priority="791">
      <formula>$A12=$U$4</formula>
    </cfRule>
    <cfRule type="expression" dxfId="86" priority="843">
      <formula>$A12=$U$7</formula>
    </cfRule>
    <cfRule type="expression" dxfId="85" priority="793">
      <formula>$A12=$U$6</formula>
    </cfRule>
    <cfRule type="expression" dxfId="84" priority="790">
      <formula>$A12=$U$3</formula>
    </cfRule>
  </conditionalFormatting>
  <conditionalFormatting sqref="D27">
    <cfRule type="expression" dxfId="83" priority="989">
      <formula>$A14=$U$4</formula>
    </cfRule>
    <cfRule type="expression" dxfId="82" priority="991">
      <formula>$A14=$U$6</formula>
    </cfRule>
    <cfRule type="expression" dxfId="81" priority="993">
      <formula>$A14=$U$7</formula>
    </cfRule>
    <cfRule type="expression" dxfId="80" priority="990">
      <formula>$A14=$U$5</formula>
    </cfRule>
    <cfRule type="expression" dxfId="79" priority="988">
      <formula>$A14=$U$3</formula>
    </cfRule>
  </conditionalFormatting>
  <conditionalFormatting sqref="D17:K17 N17:O17 D23:K23 N23:O23 D29:K29 N29:O29 B17 B23">
    <cfRule type="expression" dxfId="78" priority="29">
      <formula>#REF!=$U$5</formula>
    </cfRule>
  </conditionalFormatting>
  <conditionalFormatting sqref="D10:O11 B10:B12 A10:A34 D12:D13 F12:O13 C12:C34 G14:O15 F16:O16 D16:D19 D17:O17 B17:B18 F18:O19 G20:O20 F21:O22 D21:D26 D23:O23 B23:B24 F24:O28 D28 D29:O29 B29:B30 D30:D34 F30:O34">
    <cfRule type="expression" dxfId="77" priority="76">
      <formula>$A10=$U$3</formula>
    </cfRule>
    <cfRule type="expression" dxfId="76" priority="77">
      <formula>$A10=$U$4</formula>
    </cfRule>
    <cfRule type="expression" dxfId="75" priority="79">
      <formula>$A10=$U$6</formula>
    </cfRule>
    <cfRule type="expression" dxfId="74" priority="78">
      <formula>$A10=$U$5</formula>
    </cfRule>
  </conditionalFormatting>
  <conditionalFormatting sqref="D17:O17 D23:O23 D29:O29">
    <cfRule type="expression" dxfId="73" priority="11">
      <formula>#REF!=$U$3</formula>
    </cfRule>
    <cfRule type="expression" dxfId="72" priority="12">
      <formula>#REF!=$U$4</formula>
    </cfRule>
    <cfRule type="expression" dxfId="71" priority="14">
      <formula>#REF!=$U$6</formula>
    </cfRule>
    <cfRule type="expression" dxfId="70" priority="15">
      <formula>#REF!=$U$7</formula>
    </cfRule>
    <cfRule type="expression" dxfId="69" priority="16">
      <formula>#REF!=$U$3</formula>
    </cfRule>
    <cfRule type="expression" dxfId="68" priority="17">
      <formula>#REF!=$U$6</formula>
    </cfRule>
    <cfRule type="expression" dxfId="67" priority="19">
      <formula>#REF!=$U$4</formula>
    </cfRule>
    <cfRule type="expression" dxfId="66" priority="18">
      <formula>#REF!=$U$5</formula>
    </cfRule>
    <cfRule type="expression" dxfId="65" priority="13">
      <formula>#REF!=$U$5</formula>
    </cfRule>
  </conditionalFormatting>
  <conditionalFormatting sqref="G10">
    <cfRule type="expression" dxfId="64" priority="7">
      <formula>$A11=$U$6</formula>
    </cfRule>
    <cfRule type="expression" dxfId="63" priority="8">
      <formula>$A11=$U$5</formula>
    </cfRule>
    <cfRule type="expression" dxfId="62" priority="9">
      <formula>$A11=$U$4</formula>
    </cfRule>
    <cfRule type="expression" dxfId="61" priority="10">
      <formula>$A11=$U$3</formula>
    </cfRule>
  </conditionalFormatting>
  <conditionalFormatting sqref="L16:N16 L22:N22 D28 F28:N28 D34 F34:N34 B29">
    <cfRule type="expression" dxfId="60" priority="21">
      <formula>#REF!=$U$5</formula>
    </cfRule>
  </conditionalFormatting>
  <conditionalFormatting sqref="L16:N16 L22:N22 D28 F28:N28 D34 F34:N34">
    <cfRule type="expression" dxfId="59" priority="23">
      <formula>#REF!=$U$3</formula>
    </cfRule>
    <cfRule type="expression" dxfId="58" priority="22">
      <formula>#REF!=$U$4</formula>
    </cfRule>
    <cfRule type="expression" dxfId="57" priority="20">
      <formula>#REF!=$U$6</formula>
    </cfRule>
  </conditionalFormatting>
  <conditionalFormatting sqref="U2:U6">
    <cfRule type="colorScale" priority="3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3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3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4">
    <dataValidation type="date" allowBlank="1" showInputMessage="1" showErrorMessage="1" sqref="L30:L34 L12:L16 L24:L28 L18:L22" xr:uid="{00000000-0002-0000-0400-000000000000}">
      <formula1>L12</formula1>
      <formula2>M12</formula2>
    </dataValidation>
    <dataValidation type="list" showInputMessage="1" showErrorMessage="1" sqref="B12 B18 B24 B30" xr:uid="{00000000-0002-0000-0400-000001000000}">
      <formula1>$V$2:$V$5</formula1>
    </dataValidation>
    <dataValidation type="list" showInputMessage="1" showErrorMessage="1" sqref="B3" xr:uid="{00000000-0002-0000-0400-000002000000}">
      <formula1>$W$2:$W$10</formula1>
    </dataValidation>
    <dataValidation type="list" showInputMessage="1" showErrorMessage="1" sqref="A12:A16 A18:A22 A30:A34 A24:A28" xr:uid="{00000000-0002-0000-0400-000003000000}">
      <formula1>$U$2:$U$7</formula1>
    </dataValidation>
  </dataValidation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X49"/>
  <sheetViews>
    <sheetView zoomScale="85" zoomScaleNormal="85" workbookViewId="0">
      <pane ySplit="11" topLeftCell="A18" activePane="bottomLeft" state="frozen"/>
      <selection pane="bottomLeft" activeCell="R27" sqref="R27:S27"/>
    </sheetView>
  </sheetViews>
  <sheetFormatPr baseColWidth="10" defaultRowHeight="15.75" x14ac:dyDescent="0.25"/>
  <cols>
    <col min="1" max="1" width="13.85546875" style="2" customWidth="1"/>
    <col min="2" max="2" width="14.7109375" style="2" customWidth="1"/>
    <col min="3" max="3" width="14.42578125" style="2" customWidth="1"/>
    <col min="4" max="4" width="40.28515625" style="2" customWidth="1"/>
    <col min="5" max="5" width="25" style="2" customWidth="1"/>
    <col min="6" max="6" width="49" style="2" customWidth="1"/>
    <col min="7" max="7" width="34.42578125" style="2" customWidth="1"/>
    <col min="8" max="8" width="32.5703125" style="2" customWidth="1"/>
    <col min="9" max="9" width="19.85546875" style="2" customWidth="1"/>
    <col min="10" max="10" width="16" style="2" customWidth="1"/>
    <col min="11" max="12" width="11.42578125" style="2"/>
    <col min="13" max="13" width="12.28515625" style="2" customWidth="1"/>
    <col min="14" max="14" width="15.28515625" style="2" customWidth="1"/>
    <col min="15" max="15" width="14.7109375" style="2" customWidth="1"/>
    <col min="16" max="16" width="16.85546875" style="29" customWidth="1"/>
    <col min="17" max="17" width="16.140625" style="29" customWidth="1"/>
    <col min="18" max="18" width="21" style="29" customWidth="1"/>
    <col min="19" max="19" width="29.7109375" style="29" customWidth="1"/>
    <col min="20" max="20" width="13.7109375" style="2" customWidth="1"/>
    <col min="21" max="21" width="21.140625" style="2" hidden="1" customWidth="1"/>
    <col min="22" max="22" width="22" style="2" hidden="1" customWidth="1"/>
    <col min="23" max="23" width="17.28515625" style="2" hidden="1" customWidth="1"/>
    <col min="24" max="16384" width="11.42578125" style="2"/>
  </cols>
  <sheetData>
    <row r="1" spans="1:24" ht="18.75" customHeight="1" x14ac:dyDescent="0.25">
      <c r="A1" s="305" t="s">
        <v>97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4"/>
      <c r="U1" s="4"/>
    </row>
    <row r="2" spans="1:24" ht="22.5" customHeight="1" x14ac:dyDescent="0.25">
      <c r="A2" s="159" t="s">
        <v>98</v>
      </c>
      <c r="B2" s="124">
        <v>45749</v>
      </c>
      <c r="C2" s="308" t="s">
        <v>104</v>
      </c>
      <c r="D2" s="309"/>
      <c r="E2" s="171" t="s">
        <v>44</v>
      </c>
      <c r="F2" s="125"/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33</v>
      </c>
      <c r="V2" s="27" t="s">
        <v>106</v>
      </c>
      <c r="W2" s="11" t="s">
        <v>38</v>
      </c>
    </row>
    <row r="3" spans="1:24" ht="19.5" thickBot="1" x14ac:dyDescent="0.3">
      <c r="A3" s="161" t="s">
        <v>0</v>
      </c>
      <c r="B3" s="91" t="s">
        <v>38</v>
      </c>
      <c r="C3" s="235" t="s">
        <v>39</v>
      </c>
      <c r="D3" s="236"/>
      <c r="E3" s="235" t="s">
        <v>43</v>
      </c>
      <c r="F3" s="237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3" t="s">
        <v>15</v>
      </c>
      <c r="W3" s="13" t="s">
        <v>25</v>
      </c>
    </row>
    <row r="4" spans="1:24" ht="19.5" thickTop="1" x14ac:dyDescent="0.25">
      <c r="A4" s="71" t="s">
        <v>40</v>
      </c>
      <c r="B4" s="19"/>
      <c r="C4" s="221"/>
      <c r="D4" s="222"/>
      <c r="E4" s="225"/>
      <c r="F4" s="226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3" t="s">
        <v>22</v>
      </c>
      <c r="W4" s="13" t="s">
        <v>30</v>
      </c>
    </row>
    <row r="5" spans="1:24" x14ac:dyDescent="0.25">
      <c r="A5" s="72"/>
      <c r="B5" s="73"/>
      <c r="C5" s="223"/>
      <c r="D5" s="224"/>
      <c r="E5" s="227"/>
      <c r="F5" s="22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3" t="s">
        <v>16</v>
      </c>
      <c r="W5" s="13" t="s">
        <v>27</v>
      </c>
      <c r="X5" s="12"/>
    </row>
    <row r="6" spans="1:24" x14ac:dyDescent="0.25">
      <c r="A6" s="72"/>
      <c r="B6" s="73"/>
      <c r="C6" s="245" t="s">
        <v>45</v>
      </c>
      <c r="D6" s="307"/>
      <c r="E6" s="243" t="s">
        <v>46</v>
      </c>
      <c r="F6" s="244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3" t="s">
        <v>17</v>
      </c>
      <c r="W6" s="13" t="s">
        <v>28</v>
      </c>
      <c r="X6" s="12"/>
    </row>
    <row r="7" spans="1:24" x14ac:dyDescent="0.25">
      <c r="A7" s="72"/>
      <c r="B7" s="73"/>
      <c r="C7" s="259"/>
      <c r="D7" s="226"/>
      <c r="E7" s="259"/>
      <c r="F7" s="22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V7" s="14" t="s">
        <v>18</v>
      </c>
      <c r="W7" s="13" t="s">
        <v>31</v>
      </c>
      <c r="X7" s="12"/>
    </row>
    <row r="8" spans="1:24" x14ac:dyDescent="0.25">
      <c r="A8" s="72"/>
      <c r="B8" s="73"/>
      <c r="C8" s="258"/>
      <c r="D8" s="228"/>
      <c r="E8" s="258"/>
      <c r="F8" s="2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V8" s="14" t="s">
        <v>19</v>
      </c>
      <c r="W8" s="13" t="s">
        <v>26</v>
      </c>
      <c r="X8" s="12"/>
    </row>
    <row r="9" spans="1:24" x14ac:dyDescent="0.25">
      <c r="A9" s="72"/>
      <c r="B9" s="73"/>
      <c r="C9" s="103"/>
      <c r="D9" s="104"/>
      <c r="E9" s="104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V9" s="14" t="s">
        <v>20</v>
      </c>
      <c r="W9" s="13" t="s">
        <v>29</v>
      </c>
      <c r="X9" s="12"/>
    </row>
    <row r="10" spans="1:24" ht="15" x14ac:dyDescent="0.25">
      <c r="A10" s="105"/>
      <c r="B10" s="15"/>
      <c r="C10" s="127"/>
      <c r="D10" s="93"/>
      <c r="E10" s="94"/>
      <c r="F10" s="204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5" t="s">
        <v>3</v>
      </c>
      <c r="M10" s="215" t="s">
        <v>4</v>
      </c>
      <c r="N10" s="213" t="s">
        <v>14</v>
      </c>
      <c r="O10" s="213" t="s">
        <v>10</v>
      </c>
      <c r="P10" s="210" t="s">
        <v>2</v>
      </c>
      <c r="Q10" s="210"/>
      <c r="R10" s="231" t="s">
        <v>96</v>
      </c>
      <c r="S10" s="232"/>
      <c r="X10" s="12"/>
    </row>
    <row r="11" spans="1:24" ht="28.5" customHeight="1" x14ac:dyDescent="0.25">
      <c r="A11" s="101" t="s">
        <v>11</v>
      </c>
      <c r="B11" s="92" t="s">
        <v>21</v>
      </c>
      <c r="C11" s="128" t="s">
        <v>101</v>
      </c>
      <c r="D11" s="229" t="s">
        <v>36</v>
      </c>
      <c r="E11" s="230"/>
      <c r="F11" s="256"/>
      <c r="G11" s="95" t="s">
        <v>23</v>
      </c>
      <c r="H11" s="96" t="s">
        <v>24</v>
      </c>
      <c r="I11" s="242"/>
      <c r="J11" s="240"/>
      <c r="K11" s="239"/>
      <c r="L11" s="216"/>
      <c r="M11" s="216"/>
      <c r="N11" s="214"/>
      <c r="O11" s="214"/>
      <c r="P11" s="97" t="s">
        <v>12</v>
      </c>
      <c r="Q11" s="106" t="s">
        <v>13</v>
      </c>
      <c r="R11" s="233"/>
      <c r="S11" s="234"/>
      <c r="X11" s="12"/>
    </row>
    <row r="12" spans="1:24" ht="18" customHeight="1" x14ac:dyDescent="0.25">
      <c r="A12" s="23" t="s">
        <v>33</v>
      </c>
      <c r="B12" s="302" t="s">
        <v>112</v>
      </c>
      <c r="C12" s="37"/>
      <c r="D12" s="217"/>
      <c r="E12" s="218"/>
      <c r="F12" s="137"/>
      <c r="G12" s="137"/>
      <c r="H12" s="137"/>
      <c r="I12" s="5"/>
      <c r="J12" s="5"/>
      <c r="K12" s="5"/>
      <c r="L12" s="162">
        <v>45694</v>
      </c>
      <c r="M12" s="162">
        <v>46001</v>
      </c>
      <c r="N12" s="165">
        <f>(M12-L12)/7</f>
        <v>43.857142857142854</v>
      </c>
      <c r="O12" s="166">
        <f ca="1">(M12-TODAY())/7</f>
        <v>-44</v>
      </c>
      <c r="P12" s="58">
        <v>0</v>
      </c>
      <c r="Q12" s="58">
        <v>0</v>
      </c>
      <c r="R12" s="251"/>
      <c r="S12" s="251"/>
      <c r="X12" s="13"/>
    </row>
    <row r="13" spans="1:24" x14ac:dyDescent="0.25">
      <c r="A13" s="22" t="s">
        <v>33</v>
      </c>
      <c r="B13" s="303"/>
      <c r="C13" s="38"/>
      <c r="D13" s="208"/>
      <c r="E13" s="209"/>
      <c r="F13" s="138"/>
      <c r="G13" s="138"/>
      <c r="H13" s="138"/>
      <c r="I13" s="8"/>
      <c r="J13" s="8"/>
      <c r="K13" s="8"/>
      <c r="L13" s="163">
        <v>45875</v>
      </c>
      <c r="M13" s="163">
        <v>45940</v>
      </c>
      <c r="N13" s="165">
        <f t="shared" ref="N13:N28" si="0">(M13-L13)/7</f>
        <v>9.2857142857142865</v>
      </c>
      <c r="O13" s="167"/>
      <c r="P13" s="58">
        <v>0</v>
      </c>
      <c r="Q13" s="107">
        <v>0</v>
      </c>
      <c r="R13" s="251"/>
      <c r="S13" s="251"/>
      <c r="X13" s="13"/>
    </row>
    <row r="14" spans="1:24" x14ac:dyDescent="0.25">
      <c r="A14" s="21" t="s">
        <v>33</v>
      </c>
      <c r="B14" s="303"/>
      <c r="C14" s="38"/>
      <c r="D14" s="208"/>
      <c r="E14" s="209"/>
      <c r="F14" s="138"/>
      <c r="G14" s="138"/>
      <c r="H14" s="138"/>
      <c r="I14" s="8"/>
      <c r="J14" s="8"/>
      <c r="K14" s="8"/>
      <c r="L14" s="163"/>
      <c r="M14" s="163"/>
      <c r="N14" s="165">
        <f t="shared" si="0"/>
        <v>0</v>
      </c>
      <c r="O14" s="167">
        <f ca="1">(M14-TODAY())/7</f>
        <v>-6615.5714285714284</v>
      </c>
      <c r="P14" s="58">
        <v>0</v>
      </c>
      <c r="Q14" s="107">
        <v>0</v>
      </c>
      <c r="R14" s="251"/>
      <c r="S14" s="251"/>
      <c r="T14" s="6"/>
      <c r="U14" s="6"/>
      <c r="V14" s="7"/>
      <c r="W14" s="6"/>
      <c r="X14" s="6"/>
    </row>
    <row r="15" spans="1:24" x14ac:dyDescent="0.25">
      <c r="A15" s="21" t="s">
        <v>33</v>
      </c>
      <c r="B15" s="303"/>
      <c r="C15" s="38"/>
      <c r="D15" s="208"/>
      <c r="E15" s="209"/>
      <c r="F15" s="138"/>
      <c r="G15" s="138"/>
      <c r="H15" s="138"/>
      <c r="I15" s="8"/>
      <c r="J15" s="8"/>
      <c r="K15" s="8"/>
      <c r="L15" s="163"/>
      <c r="M15" s="163"/>
      <c r="N15" s="165">
        <f t="shared" si="0"/>
        <v>0</v>
      </c>
      <c r="O15" s="167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</row>
    <row r="16" spans="1:24" x14ac:dyDescent="0.25">
      <c r="A16" s="23" t="s">
        <v>33</v>
      </c>
      <c r="B16" s="303"/>
      <c r="C16" s="38"/>
      <c r="D16" s="202"/>
      <c r="E16" s="203"/>
      <c r="F16" s="138"/>
      <c r="G16" s="138"/>
      <c r="H16" s="138"/>
      <c r="I16" s="8"/>
      <c r="J16" s="8"/>
      <c r="K16" s="8"/>
      <c r="L16" s="163"/>
      <c r="M16" s="163"/>
      <c r="N16" s="165">
        <f t="shared" si="0"/>
        <v>0</v>
      </c>
      <c r="O16" s="167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</row>
    <row r="17" spans="1:24" ht="1.5" customHeight="1" x14ac:dyDescent="0.25">
      <c r="A17" s="41"/>
      <c r="B17" s="303"/>
      <c r="C17" s="34"/>
      <c r="D17" s="135"/>
      <c r="E17" s="135"/>
      <c r="F17" s="135"/>
      <c r="G17" s="135"/>
      <c r="H17" s="135"/>
      <c r="I17" s="9"/>
      <c r="J17" s="9"/>
      <c r="K17" s="9"/>
      <c r="L17" s="164"/>
      <c r="M17" s="164"/>
      <c r="N17" s="168"/>
      <c r="O17" s="169"/>
      <c r="P17" s="58">
        <v>0</v>
      </c>
      <c r="Q17" s="107">
        <v>0</v>
      </c>
      <c r="R17" s="251"/>
      <c r="S17" s="251"/>
      <c r="T17" s="6"/>
      <c r="U17" s="6"/>
      <c r="V17" s="6"/>
      <c r="W17" s="6"/>
      <c r="X17" s="6"/>
    </row>
    <row r="18" spans="1:24" ht="16.5" customHeight="1" x14ac:dyDescent="0.25">
      <c r="A18" s="21" t="s">
        <v>33</v>
      </c>
      <c r="B18" s="303"/>
      <c r="C18" s="38"/>
      <c r="D18" s="202"/>
      <c r="E18" s="203"/>
      <c r="F18" s="138"/>
      <c r="G18" s="138"/>
      <c r="H18" s="138"/>
      <c r="I18" s="8"/>
      <c r="J18" s="8"/>
      <c r="K18" s="8"/>
      <c r="L18" s="163"/>
      <c r="M18" s="163"/>
      <c r="N18" s="165">
        <f t="shared" si="0"/>
        <v>0</v>
      </c>
      <c r="O18" s="167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</row>
    <row r="19" spans="1:24" x14ac:dyDescent="0.25">
      <c r="A19" s="21" t="s">
        <v>33</v>
      </c>
      <c r="B19" s="303"/>
      <c r="C19" s="38"/>
      <c r="D19" s="202"/>
      <c r="E19" s="203"/>
      <c r="F19" s="138"/>
      <c r="G19" s="138"/>
      <c r="H19" s="138"/>
      <c r="I19" s="8"/>
      <c r="J19" s="8"/>
      <c r="K19" s="8"/>
      <c r="L19" s="163"/>
      <c r="M19" s="163"/>
      <c r="N19" s="165">
        <f t="shared" si="0"/>
        <v>0</v>
      </c>
      <c r="O19" s="167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</row>
    <row r="20" spans="1:24" x14ac:dyDescent="0.25">
      <c r="A20" s="25" t="s">
        <v>33</v>
      </c>
      <c r="B20" s="303"/>
      <c r="C20" s="38"/>
      <c r="D20" s="202"/>
      <c r="E20" s="203"/>
      <c r="F20" s="138"/>
      <c r="G20" s="138"/>
      <c r="H20" s="138"/>
      <c r="I20" s="8"/>
      <c r="J20" s="8"/>
      <c r="K20" s="8"/>
      <c r="L20" s="163"/>
      <c r="M20" s="163"/>
      <c r="N20" s="165">
        <f t="shared" si="0"/>
        <v>0</v>
      </c>
      <c r="O20" s="167">
        <f t="shared" ca="1" si="1"/>
        <v>-6615.5714285714284</v>
      </c>
      <c r="P20" s="58">
        <v>0</v>
      </c>
      <c r="Q20" s="107">
        <v>0</v>
      </c>
      <c r="R20" s="251"/>
      <c r="S20" s="251"/>
      <c r="T20" s="6"/>
      <c r="U20" s="6"/>
      <c r="V20" s="6"/>
      <c r="W20" s="6"/>
      <c r="X20" s="6"/>
    </row>
    <row r="21" spans="1:24" x14ac:dyDescent="0.25">
      <c r="A21" s="25" t="s">
        <v>33</v>
      </c>
      <c r="B21" s="303"/>
      <c r="C21" s="38"/>
      <c r="D21" s="202"/>
      <c r="E21" s="203"/>
      <c r="F21" s="138"/>
      <c r="G21" s="138"/>
      <c r="H21" s="138"/>
      <c r="I21" s="8"/>
      <c r="J21" s="8"/>
      <c r="K21" s="8"/>
      <c r="L21" s="163"/>
      <c r="M21" s="163"/>
      <c r="N21" s="165">
        <f t="shared" si="0"/>
        <v>0</v>
      </c>
      <c r="O21" s="167">
        <f t="shared" ca="1" si="1"/>
        <v>-6615.5714285714284</v>
      </c>
      <c r="P21" s="58">
        <v>0</v>
      </c>
      <c r="Q21" s="107">
        <v>0</v>
      </c>
      <c r="R21" s="251"/>
      <c r="S21" s="251"/>
      <c r="T21" s="6"/>
      <c r="U21" s="6"/>
      <c r="V21" s="6"/>
      <c r="W21" s="6"/>
      <c r="X21" s="6"/>
    </row>
    <row r="22" spans="1:24" x14ac:dyDescent="0.25">
      <c r="A22" s="25" t="s">
        <v>33</v>
      </c>
      <c r="B22" s="303"/>
      <c r="C22" s="38"/>
      <c r="D22" s="202"/>
      <c r="E22" s="203"/>
      <c r="F22" s="138"/>
      <c r="G22" s="138"/>
      <c r="H22" s="138"/>
      <c r="I22" s="8"/>
      <c r="J22" s="8"/>
      <c r="K22" s="8"/>
      <c r="L22" s="163"/>
      <c r="M22" s="163"/>
      <c r="N22" s="165">
        <f t="shared" si="0"/>
        <v>0</v>
      </c>
      <c r="O22" s="167">
        <f ca="1">(M22-TODAY())/7</f>
        <v>-6615.5714285714284</v>
      </c>
      <c r="P22" s="58">
        <v>0</v>
      </c>
      <c r="Q22" s="107">
        <v>0</v>
      </c>
      <c r="R22" s="251"/>
      <c r="S22" s="251"/>
      <c r="T22" s="6"/>
      <c r="U22" s="6"/>
      <c r="V22" s="6"/>
      <c r="W22" s="6"/>
      <c r="X22" s="6"/>
    </row>
    <row r="23" spans="1:24" ht="1.5" customHeight="1" x14ac:dyDescent="0.25">
      <c r="A23" s="24"/>
      <c r="B23" s="303"/>
      <c r="C23" s="34"/>
      <c r="D23" s="135"/>
      <c r="E23" s="135"/>
      <c r="F23" s="135"/>
      <c r="G23" s="135"/>
      <c r="H23" s="135"/>
      <c r="I23" s="9"/>
      <c r="J23" s="9"/>
      <c r="K23" s="9"/>
      <c r="L23" s="164"/>
      <c r="M23" s="164"/>
      <c r="N23" s="168"/>
      <c r="O23" s="169"/>
      <c r="P23" s="58">
        <v>0</v>
      </c>
      <c r="Q23" s="107">
        <v>0</v>
      </c>
      <c r="R23" s="251"/>
      <c r="S23" s="251"/>
      <c r="T23" s="6"/>
      <c r="U23" s="6"/>
      <c r="V23" s="6"/>
      <c r="W23" s="6"/>
      <c r="X23" s="6"/>
    </row>
    <row r="24" spans="1:24" x14ac:dyDescent="0.25">
      <c r="A24" s="21" t="s">
        <v>33</v>
      </c>
      <c r="B24" s="303"/>
      <c r="C24" s="38"/>
      <c r="D24" s="202"/>
      <c r="E24" s="203"/>
      <c r="F24" s="138"/>
      <c r="G24" s="138"/>
      <c r="H24" s="138"/>
      <c r="I24" s="8"/>
      <c r="J24" s="8"/>
      <c r="K24" s="8"/>
      <c r="L24" s="163"/>
      <c r="M24" s="163"/>
      <c r="N24" s="165">
        <f t="shared" si="0"/>
        <v>0</v>
      </c>
      <c r="O24" s="167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</row>
    <row r="25" spans="1:24" x14ac:dyDescent="0.25">
      <c r="A25" s="21" t="s">
        <v>33</v>
      </c>
      <c r="B25" s="303"/>
      <c r="C25" s="38"/>
      <c r="D25" s="202"/>
      <c r="E25" s="203"/>
      <c r="F25" s="138"/>
      <c r="G25" s="138"/>
      <c r="H25" s="138"/>
      <c r="I25" s="8"/>
      <c r="J25" s="8"/>
      <c r="K25" s="8"/>
      <c r="L25" s="163"/>
      <c r="M25" s="163"/>
      <c r="N25" s="165">
        <f t="shared" si="0"/>
        <v>0</v>
      </c>
      <c r="O25" s="167">
        <f t="shared" ca="1" si="1"/>
        <v>-6615.5714285714284</v>
      </c>
      <c r="P25" s="58">
        <v>0</v>
      </c>
      <c r="Q25" s="107">
        <v>0</v>
      </c>
      <c r="R25" s="251"/>
      <c r="S25" s="251"/>
      <c r="T25" s="6"/>
      <c r="U25" s="6"/>
      <c r="V25" s="6"/>
      <c r="W25" s="6"/>
      <c r="X25" s="6"/>
    </row>
    <row r="26" spans="1:24" x14ac:dyDescent="0.25">
      <c r="A26" s="21" t="s">
        <v>33</v>
      </c>
      <c r="B26" s="303"/>
      <c r="C26" s="38"/>
      <c r="D26" s="202"/>
      <c r="E26" s="203"/>
      <c r="F26" s="138"/>
      <c r="G26" s="138"/>
      <c r="H26" s="138"/>
      <c r="I26" s="8"/>
      <c r="J26" s="8"/>
      <c r="K26" s="8"/>
      <c r="L26" s="163"/>
      <c r="M26" s="163"/>
      <c r="N26" s="165">
        <f t="shared" si="0"/>
        <v>0</v>
      </c>
      <c r="O26" s="167">
        <f t="shared" ca="1" si="1"/>
        <v>-6615.5714285714284</v>
      </c>
      <c r="P26" s="58">
        <v>0</v>
      </c>
      <c r="Q26" s="107">
        <v>0</v>
      </c>
      <c r="R26" s="251"/>
      <c r="S26" s="251"/>
      <c r="T26" s="6"/>
      <c r="U26" s="6"/>
      <c r="V26" s="6"/>
      <c r="W26" s="6"/>
      <c r="X26" s="6"/>
    </row>
    <row r="27" spans="1:24" x14ac:dyDescent="0.25">
      <c r="A27" s="21" t="s">
        <v>33</v>
      </c>
      <c r="B27" s="303"/>
      <c r="C27" s="38"/>
      <c r="D27" s="202"/>
      <c r="E27" s="203"/>
      <c r="F27" s="138"/>
      <c r="G27" s="138"/>
      <c r="H27" s="138"/>
      <c r="I27" s="8"/>
      <c r="J27" s="8"/>
      <c r="K27" s="8"/>
      <c r="L27" s="163"/>
      <c r="M27" s="163"/>
      <c r="N27" s="165">
        <f t="shared" si="0"/>
        <v>0</v>
      </c>
      <c r="O27" s="167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</row>
    <row r="28" spans="1:24" x14ac:dyDescent="0.25">
      <c r="A28" s="21" t="s">
        <v>33</v>
      </c>
      <c r="B28" s="303"/>
      <c r="C28" s="3"/>
      <c r="D28" s="202"/>
      <c r="E28" s="203"/>
      <c r="F28" s="138"/>
      <c r="G28" s="138"/>
      <c r="H28" s="138"/>
      <c r="I28" s="8"/>
      <c r="J28" s="8"/>
      <c r="K28" s="8"/>
      <c r="L28" s="163"/>
      <c r="M28" s="163"/>
      <c r="N28" s="165">
        <f t="shared" si="0"/>
        <v>0</v>
      </c>
      <c r="O28" s="167">
        <f t="shared" ca="1" si="1"/>
        <v>-6615.5714285714284</v>
      </c>
      <c r="P28" s="58">
        <v>0</v>
      </c>
      <c r="Q28" s="107">
        <v>0</v>
      </c>
      <c r="R28" s="251"/>
      <c r="S28" s="251"/>
      <c r="T28" s="6"/>
      <c r="U28" s="6"/>
      <c r="V28" s="6"/>
      <c r="W28" s="6"/>
      <c r="X28" s="6"/>
    </row>
    <row r="29" spans="1:24" ht="1.5" customHeight="1" x14ac:dyDescent="0.25">
      <c r="A29" s="24"/>
      <c r="B29" s="303"/>
      <c r="C29" s="34"/>
      <c r="D29" s="135"/>
      <c r="E29" s="135"/>
      <c r="F29" s="135"/>
      <c r="G29" s="135"/>
      <c r="H29" s="135"/>
      <c r="I29" s="9"/>
      <c r="J29" s="9"/>
      <c r="K29" s="9"/>
      <c r="L29" s="164"/>
      <c r="M29" s="164"/>
      <c r="N29" s="168"/>
      <c r="O29" s="169"/>
      <c r="P29" s="58">
        <v>0</v>
      </c>
      <c r="Q29" s="107">
        <v>0</v>
      </c>
      <c r="R29" s="251"/>
      <c r="S29" s="251"/>
      <c r="T29" s="6"/>
      <c r="U29" s="6"/>
      <c r="V29" s="6"/>
      <c r="W29" s="6"/>
      <c r="X29" s="6"/>
    </row>
    <row r="30" spans="1:24" x14ac:dyDescent="0.25">
      <c r="A30" s="21" t="s">
        <v>33</v>
      </c>
      <c r="B30" s="303"/>
      <c r="C30" s="33"/>
      <c r="D30" s="202"/>
      <c r="E30" s="203"/>
      <c r="F30" s="138"/>
      <c r="G30" s="138"/>
      <c r="H30" s="138"/>
      <c r="I30" s="8"/>
      <c r="J30" s="8"/>
      <c r="K30" s="8"/>
      <c r="L30" s="163"/>
      <c r="M30" s="163"/>
      <c r="N30" s="165">
        <f t="shared" ref="N30:N34" si="2">(M30-L30)/7</f>
        <v>0</v>
      </c>
      <c r="O30" s="167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</row>
    <row r="31" spans="1:24" x14ac:dyDescent="0.25">
      <c r="A31" s="21" t="s">
        <v>33</v>
      </c>
      <c r="B31" s="303"/>
      <c r="C31" s="33"/>
      <c r="D31" s="202"/>
      <c r="E31" s="203"/>
      <c r="F31" s="138"/>
      <c r="G31" s="138"/>
      <c r="H31" s="138"/>
      <c r="I31" s="8"/>
      <c r="J31" s="8"/>
      <c r="K31" s="8"/>
      <c r="L31" s="163"/>
      <c r="M31" s="163"/>
      <c r="N31" s="165">
        <f t="shared" si="2"/>
        <v>0</v>
      </c>
      <c r="O31" s="167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</row>
    <row r="32" spans="1:24" x14ac:dyDescent="0.25">
      <c r="A32" s="21" t="s">
        <v>33</v>
      </c>
      <c r="B32" s="303"/>
      <c r="C32" s="33"/>
      <c r="D32" s="202"/>
      <c r="E32" s="203"/>
      <c r="F32" s="138"/>
      <c r="G32" s="138"/>
      <c r="H32" s="138"/>
      <c r="I32" s="8"/>
      <c r="J32" s="8"/>
      <c r="K32" s="8"/>
      <c r="L32" s="163"/>
      <c r="M32" s="163"/>
      <c r="N32" s="165">
        <f t="shared" si="2"/>
        <v>0</v>
      </c>
      <c r="O32" s="167">
        <f t="shared" ca="1" si="3"/>
        <v>-6615.5714285714284</v>
      </c>
      <c r="P32" s="58">
        <v>0</v>
      </c>
      <c r="Q32" s="107">
        <v>0</v>
      </c>
      <c r="R32" s="251"/>
      <c r="S32" s="251"/>
      <c r="T32" s="6"/>
      <c r="U32" s="6"/>
      <c r="V32" s="6"/>
      <c r="W32" s="6"/>
      <c r="X32" s="6"/>
    </row>
    <row r="33" spans="1:24" x14ac:dyDescent="0.25">
      <c r="A33" s="21" t="s">
        <v>33</v>
      </c>
      <c r="B33" s="303"/>
      <c r="C33" s="33"/>
      <c r="D33" s="202"/>
      <c r="E33" s="203"/>
      <c r="F33" s="138"/>
      <c r="G33" s="138"/>
      <c r="H33" s="138"/>
      <c r="I33" s="8"/>
      <c r="J33" s="8"/>
      <c r="K33" s="8"/>
      <c r="L33" s="163"/>
      <c r="M33" s="163"/>
      <c r="N33" s="165">
        <f t="shared" si="2"/>
        <v>0</v>
      </c>
      <c r="O33" s="167">
        <f t="shared" ca="1" si="3"/>
        <v>-6615.5714285714284</v>
      </c>
      <c r="P33" s="58">
        <v>0</v>
      </c>
      <c r="Q33" s="107">
        <v>0</v>
      </c>
      <c r="R33" s="251"/>
      <c r="S33" s="251"/>
      <c r="T33" s="6"/>
      <c r="U33" s="6"/>
      <c r="V33" s="6"/>
      <c r="W33" s="6"/>
      <c r="X33" s="6"/>
    </row>
    <row r="34" spans="1:24" x14ac:dyDescent="0.25">
      <c r="A34" s="21" t="s">
        <v>33</v>
      </c>
      <c r="B34" s="304"/>
      <c r="C34" s="33"/>
      <c r="D34" s="202"/>
      <c r="E34" s="203"/>
      <c r="F34" s="138"/>
      <c r="G34" s="138"/>
      <c r="H34" s="138"/>
      <c r="I34" s="8"/>
      <c r="J34" s="8"/>
      <c r="K34" s="8"/>
      <c r="L34" s="163"/>
      <c r="M34" s="163"/>
      <c r="N34" s="165">
        <f t="shared" si="2"/>
        <v>0</v>
      </c>
      <c r="O34" s="167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</row>
    <row r="35" spans="1:24" x14ac:dyDescent="0.25">
      <c r="A35" s="15"/>
      <c r="C35" s="16"/>
      <c r="D35" s="136"/>
      <c r="E35" s="136"/>
      <c r="F35" s="136"/>
      <c r="G35" s="136"/>
      <c r="H35" s="136"/>
      <c r="I35" s="15"/>
      <c r="J35" s="15"/>
      <c r="K35" s="15"/>
      <c r="L35" s="15"/>
      <c r="M35" s="15"/>
      <c r="N35" s="42"/>
      <c r="O35" s="42"/>
      <c r="P35" s="15"/>
      <c r="Q35" s="77">
        <f>SUM(Q12:Q34)</f>
        <v>0</v>
      </c>
      <c r="R35" s="19"/>
      <c r="S35" s="19"/>
      <c r="T35" s="3"/>
    </row>
    <row r="36" spans="1:24" ht="15" x14ac:dyDescent="0.25">
      <c r="A36" s="15"/>
      <c r="C36" s="16"/>
      <c r="D36" s="136"/>
      <c r="E36" s="136"/>
      <c r="F36" s="136"/>
      <c r="G36" s="136"/>
      <c r="H36" s="136"/>
      <c r="I36" s="15"/>
      <c r="J36" s="15"/>
      <c r="K36" s="15"/>
      <c r="L36" s="15"/>
      <c r="M36" s="15"/>
      <c r="N36" s="42"/>
      <c r="O36" s="42"/>
      <c r="P36" s="15"/>
      <c r="Q36" s="15"/>
      <c r="R36" s="19"/>
      <c r="S36" s="19"/>
      <c r="T36" s="3"/>
    </row>
    <row r="37" spans="1:24" ht="15" x14ac:dyDescent="0.25">
      <c r="A37" s="15"/>
      <c r="C37" s="16"/>
      <c r="D37" s="136"/>
      <c r="E37" s="136"/>
      <c r="F37" s="136"/>
      <c r="G37" s="136"/>
      <c r="H37" s="136"/>
      <c r="I37" s="15"/>
      <c r="J37" s="15"/>
      <c r="K37" s="15"/>
      <c r="L37" s="15"/>
      <c r="M37" s="15"/>
      <c r="N37" s="42"/>
      <c r="O37" s="42"/>
      <c r="P37" s="15"/>
      <c r="Q37" s="15"/>
      <c r="R37" s="19"/>
      <c r="S37" s="19"/>
      <c r="T37" s="3"/>
    </row>
    <row r="38" spans="1:24" ht="15" x14ac:dyDescent="0.25">
      <c r="C38" s="1"/>
      <c r="D38" s="139"/>
      <c r="E38" s="139"/>
      <c r="F38" s="139"/>
      <c r="G38" s="139"/>
      <c r="H38" s="139"/>
      <c r="N38"/>
      <c r="O38"/>
      <c r="P38" s="2"/>
      <c r="Q38" s="2"/>
      <c r="R38" s="3"/>
      <c r="S38" s="3"/>
      <c r="T38" s="3"/>
    </row>
    <row r="39" spans="1:24" ht="15" x14ac:dyDescent="0.25">
      <c r="C39" s="1"/>
      <c r="D39" s="139"/>
      <c r="E39" s="139"/>
      <c r="F39" s="139"/>
      <c r="G39" s="139"/>
      <c r="H39" s="139"/>
      <c r="P39" s="2"/>
      <c r="Q39" s="2"/>
      <c r="R39" s="3"/>
      <c r="S39" s="3"/>
      <c r="T39" s="3"/>
    </row>
    <row r="40" spans="1:24" ht="15" x14ac:dyDescent="0.25">
      <c r="C40" s="1"/>
      <c r="D40" s="139"/>
      <c r="E40" s="139"/>
      <c r="F40" s="139"/>
      <c r="G40" s="139"/>
      <c r="H40" s="139"/>
      <c r="P40" s="2"/>
      <c r="Q40" s="2"/>
      <c r="R40" s="3"/>
      <c r="S40" s="3"/>
      <c r="T40" s="3"/>
    </row>
    <row r="41" spans="1:24" ht="15" x14ac:dyDescent="0.25">
      <c r="C41" s="1"/>
      <c r="P41" s="2"/>
      <c r="Q41" s="2"/>
      <c r="R41" s="3"/>
      <c r="S41" s="3"/>
      <c r="T41" s="3"/>
    </row>
    <row r="42" spans="1:24" ht="15" x14ac:dyDescent="0.25">
      <c r="C42" s="1"/>
      <c r="P42" s="2"/>
      <c r="Q42" s="2"/>
      <c r="R42" s="3"/>
      <c r="S42" s="3"/>
      <c r="T42" s="3"/>
    </row>
    <row r="43" spans="1:24" ht="15" x14ac:dyDescent="0.25">
      <c r="C43" s="1"/>
      <c r="P43" s="2"/>
      <c r="Q43" s="2"/>
      <c r="R43" s="3"/>
      <c r="S43" s="3"/>
      <c r="T43" s="3"/>
    </row>
    <row r="44" spans="1:24" ht="15" x14ac:dyDescent="0.25">
      <c r="P44" s="2"/>
      <c r="Q44" s="2"/>
      <c r="R44" s="2"/>
      <c r="S44" s="2"/>
    </row>
    <row r="45" spans="1:24" ht="15" x14ac:dyDescent="0.25">
      <c r="B45" s="28"/>
      <c r="P45" s="2"/>
      <c r="Q45" s="2"/>
      <c r="R45" s="2"/>
      <c r="S45" s="2"/>
    </row>
    <row r="46" spans="1:24" ht="15" x14ac:dyDescent="0.25">
      <c r="B46" s="28"/>
      <c r="P46" s="2"/>
      <c r="Q46" s="2"/>
      <c r="R46" s="2"/>
      <c r="S46" s="2"/>
    </row>
    <row r="47" spans="1:24" ht="15" x14ac:dyDescent="0.25">
      <c r="B47" s="28"/>
      <c r="P47" s="2"/>
      <c r="Q47" s="2"/>
      <c r="R47" s="2"/>
      <c r="S47" s="2"/>
    </row>
    <row r="48" spans="1:24" ht="15" x14ac:dyDescent="0.25">
      <c r="B48" s="28"/>
      <c r="P48" s="2"/>
      <c r="Q48" s="2"/>
      <c r="R48" s="2"/>
      <c r="S48" s="2"/>
    </row>
    <row r="49" spans="2:19" ht="15" x14ac:dyDescent="0.25">
      <c r="B49" s="28"/>
      <c r="P49" s="2"/>
      <c r="Q49" s="2"/>
      <c r="R49" s="2"/>
      <c r="S49" s="2"/>
    </row>
  </sheetData>
  <sheetProtection password="CE28" sheet="1" objects="1" scenarios="1"/>
  <mergeCells count="67">
    <mergeCell ref="C2:D2"/>
    <mergeCell ref="C3:D3"/>
    <mergeCell ref="E3:F3"/>
    <mergeCell ref="C4:D5"/>
    <mergeCell ref="E4:F5"/>
    <mergeCell ref="C6:D6"/>
    <mergeCell ref="E6:F6"/>
    <mergeCell ref="C7:D8"/>
    <mergeCell ref="E7:F8"/>
    <mergeCell ref="F9:H9"/>
    <mergeCell ref="O10:O11"/>
    <mergeCell ref="P10:Q10"/>
    <mergeCell ref="R10:S11"/>
    <mergeCell ref="D11:E11"/>
    <mergeCell ref="D12:E12"/>
    <mergeCell ref="R12:S12"/>
    <mergeCell ref="I10:I11"/>
    <mergeCell ref="J10:J11"/>
    <mergeCell ref="K10:K11"/>
    <mergeCell ref="L10:L11"/>
    <mergeCell ref="M10:M11"/>
    <mergeCell ref="N10:N11"/>
    <mergeCell ref="F10:F11"/>
    <mergeCell ref="G10:H10"/>
    <mergeCell ref="D19:E19"/>
    <mergeCell ref="R19:S19"/>
    <mergeCell ref="D13:E13"/>
    <mergeCell ref="R13:S13"/>
    <mergeCell ref="D14:E14"/>
    <mergeCell ref="R14:S14"/>
    <mergeCell ref="D15:E15"/>
    <mergeCell ref="R15:S15"/>
    <mergeCell ref="D16:E16"/>
    <mergeCell ref="R16:S16"/>
    <mergeCell ref="R17:S17"/>
    <mergeCell ref="D18:E18"/>
    <mergeCell ref="R18:S18"/>
    <mergeCell ref="R30:S30"/>
    <mergeCell ref="D26:E26"/>
    <mergeCell ref="R26:S26"/>
    <mergeCell ref="D20:E20"/>
    <mergeCell ref="R20:S20"/>
    <mergeCell ref="D21:E21"/>
    <mergeCell ref="R21:S21"/>
    <mergeCell ref="D22:E22"/>
    <mergeCell ref="R22:S22"/>
    <mergeCell ref="R23:S23"/>
    <mergeCell ref="D24:E24"/>
    <mergeCell ref="R24:S24"/>
    <mergeCell ref="D25:E25"/>
    <mergeCell ref="R25:S25"/>
    <mergeCell ref="B12:B34"/>
    <mergeCell ref="D34:E34"/>
    <mergeCell ref="R34:S34"/>
    <mergeCell ref="A1:S1"/>
    <mergeCell ref="D31:E31"/>
    <mergeCell ref="R31:S31"/>
    <mergeCell ref="D32:E32"/>
    <mergeCell ref="R32:S32"/>
    <mergeCell ref="D33:E33"/>
    <mergeCell ref="R33:S33"/>
    <mergeCell ref="D27:E27"/>
    <mergeCell ref="R27:S27"/>
    <mergeCell ref="D28:E28"/>
    <mergeCell ref="R28:S28"/>
    <mergeCell ref="R29:S29"/>
    <mergeCell ref="D30:E30"/>
  </mergeCells>
  <conditionalFormatting sqref="B10:B11 A10:A34 C10:O34">
    <cfRule type="expression" dxfId="56" priority="20">
      <formula>$A10=$U$3</formula>
    </cfRule>
    <cfRule type="expression" dxfId="55" priority="21">
      <formula>$A10=$U$4</formula>
    </cfRule>
    <cfRule type="expression" dxfId="54" priority="22">
      <formula>$A10=$U$5</formula>
    </cfRule>
    <cfRule type="expression" dxfId="53" priority="23">
      <formula>$A10=$U$6</formula>
    </cfRule>
  </conditionalFormatting>
  <conditionalFormatting sqref="C10:O34 B10:B11 A10:A34">
    <cfRule type="expression" dxfId="52" priority="19">
      <formula>$A10=$U$7</formula>
    </cfRule>
  </conditionalFormatting>
  <conditionalFormatting sqref="D17:K17 N17:O17 D23:K23 N23:O23 D29:K29 N29:O29">
    <cfRule type="expression" dxfId="51" priority="24">
      <formula>#REF!=$U$5</formula>
    </cfRule>
    <cfRule type="expression" dxfId="50" priority="25">
      <formula>#REF!=$U$6</formula>
    </cfRule>
    <cfRule type="expression" dxfId="49" priority="26">
      <formula>#REF!=$U$4</formula>
    </cfRule>
    <cfRule type="expression" dxfId="48" priority="29">
      <formula>#REF!=$U$3</formula>
    </cfRule>
  </conditionalFormatting>
  <conditionalFormatting sqref="D17:O17 D23:O23 D29:O29">
    <cfRule type="expression" dxfId="47" priority="6">
      <formula>#REF!=$U$3</formula>
    </cfRule>
    <cfRule type="expression" dxfId="46" priority="7">
      <formula>#REF!=$U$4</formula>
    </cfRule>
    <cfRule type="expression" dxfId="45" priority="8">
      <formula>#REF!=$U$5</formula>
    </cfRule>
    <cfRule type="expression" dxfId="44" priority="9">
      <formula>#REF!=$U$6</formula>
    </cfRule>
    <cfRule type="expression" dxfId="43" priority="10">
      <formula>#REF!=$U$7</formula>
    </cfRule>
    <cfRule type="expression" dxfId="42" priority="11">
      <formula>#REF!=$U$3</formula>
    </cfRule>
    <cfRule type="expression" dxfId="41" priority="12">
      <formula>#REF!=$U$6</formula>
    </cfRule>
    <cfRule type="expression" dxfId="40" priority="13">
      <formula>#REF!=$U$5</formula>
    </cfRule>
    <cfRule type="expression" dxfId="39" priority="14">
      <formula>#REF!=$U$4</formula>
    </cfRule>
  </conditionalFormatting>
  <conditionalFormatting sqref="G10">
    <cfRule type="expression" dxfId="38" priority="2">
      <formula>$A11=$U$6</formula>
    </cfRule>
    <cfRule type="expression" dxfId="37" priority="3">
      <formula>$A11=$U$5</formula>
    </cfRule>
    <cfRule type="expression" dxfId="36" priority="4">
      <formula>$A11=$U$4</formula>
    </cfRule>
    <cfRule type="expression" dxfId="35" priority="5">
      <formula>$A11=$U$3</formula>
    </cfRule>
  </conditionalFormatting>
  <conditionalFormatting sqref="L16:N16 L22:N22 D28:N28 D34:N34">
    <cfRule type="expression" dxfId="34" priority="15">
      <formula>#REF!=$U$6</formula>
    </cfRule>
    <cfRule type="expression" dxfId="33" priority="16">
      <formula>#REF!=$U$5</formula>
    </cfRule>
    <cfRule type="expression" dxfId="32" priority="17">
      <formula>#REF!=$U$4</formula>
    </cfRule>
    <cfRule type="expression" dxfId="31" priority="18">
      <formula>#REF!=$U$3</formula>
    </cfRule>
  </conditionalFormatting>
  <conditionalFormatting sqref="U2:U6">
    <cfRule type="colorScale" priority="2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3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2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3">
    <dataValidation type="date" allowBlank="1" showInputMessage="1" showErrorMessage="1" sqref="L12:L16 L24:L28 L18:L22 L30:L34" xr:uid="{00000000-0002-0000-0500-000000000000}">
      <formula1>L12</formula1>
      <formula2>M12</formula2>
    </dataValidation>
    <dataValidation type="list" showInputMessage="1" showErrorMessage="1" sqref="A12:A16 A24:A28 A30:A34 A18:A22" xr:uid="{00000000-0002-0000-0500-000001000000}">
      <formula1>$U$2:$U$7</formula1>
    </dataValidation>
    <dataValidation type="list" showInputMessage="1" showErrorMessage="1" sqref="B3" xr:uid="{00000000-0002-0000-0500-000002000000}">
      <formula1>$W$2:$W$10</formula1>
    </dataValidation>
  </dataValidations>
  <pageMargins left="0.7" right="0.7" top="0.75" bottom="0.75" header="0.3" footer="0.3"/>
  <pageSetup orientation="portrait" copies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"/>
  <dimension ref="A1:Z44"/>
  <sheetViews>
    <sheetView topLeftCell="I6" zoomScale="76" zoomScaleNormal="76" zoomScalePageLayoutView="70" workbookViewId="0">
      <selection activeCell="X24" sqref="X24"/>
    </sheetView>
  </sheetViews>
  <sheetFormatPr baseColWidth="10" defaultColWidth="9.140625" defaultRowHeight="15" x14ac:dyDescent="0.25"/>
  <cols>
    <col min="1" max="1" width="18" style="2" customWidth="1"/>
    <col min="2" max="2" width="14.85546875" style="1" customWidth="1"/>
    <col min="3" max="3" width="16.5703125" style="2" customWidth="1"/>
    <col min="4" max="4" width="39.140625" style="2" customWidth="1"/>
    <col min="5" max="5" width="30.5703125" style="2" customWidth="1"/>
    <col min="6" max="6" width="50.85546875" style="2" customWidth="1"/>
    <col min="7" max="7" width="40.7109375" style="2" customWidth="1"/>
    <col min="8" max="8" width="33.85546875" style="2" customWidth="1"/>
    <col min="9" max="9" width="14.5703125" style="2" customWidth="1"/>
    <col min="10" max="10" width="13.5703125" style="2" customWidth="1"/>
    <col min="11" max="11" width="16.28515625" style="2" customWidth="1"/>
    <col min="12" max="12" width="12.7109375" style="2" customWidth="1"/>
    <col min="13" max="13" width="11.42578125" style="2" customWidth="1"/>
    <col min="14" max="14" width="11.7109375" style="3" customWidth="1"/>
    <col min="15" max="15" width="14.7109375" style="3" customWidth="1"/>
    <col min="16" max="16" width="13.28515625" style="3" customWidth="1"/>
    <col min="17" max="17" width="13.85546875" style="2" customWidth="1"/>
    <col min="18" max="18" width="18" style="2" customWidth="1"/>
    <col min="19" max="19" width="35.5703125" style="2" customWidth="1"/>
    <col min="20" max="20" width="9.140625" style="2"/>
    <col min="21" max="21" width="20.7109375" style="2" hidden="1" customWidth="1"/>
    <col min="22" max="22" width="16.42578125" style="2" hidden="1" customWidth="1"/>
    <col min="23" max="23" width="14" style="2" hidden="1" customWidth="1"/>
    <col min="24" max="16384" width="9.140625" style="2"/>
  </cols>
  <sheetData>
    <row r="1" spans="1:26" ht="30" customHeight="1" x14ac:dyDescent="0.25">
      <c r="A1" s="314" t="s">
        <v>97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4"/>
      <c r="U1" s="4"/>
    </row>
    <row r="2" spans="1:26" ht="29.25" customHeight="1" x14ac:dyDescent="0.25">
      <c r="A2" s="117" t="s">
        <v>98</v>
      </c>
      <c r="B2" s="98">
        <v>45749</v>
      </c>
      <c r="C2" s="219" t="s">
        <v>37</v>
      </c>
      <c r="D2" s="220"/>
      <c r="E2" s="121" t="s">
        <v>44</v>
      </c>
      <c r="F2" s="133"/>
      <c r="G2" s="15"/>
      <c r="H2" s="30"/>
      <c r="I2" s="15"/>
      <c r="J2" s="15"/>
      <c r="K2" s="15"/>
      <c r="L2" s="15"/>
      <c r="M2" s="15"/>
      <c r="N2" s="15"/>
      <c r="O2" s="17"/>
      <c r="P2" s="17"/>
      <c r="Q2" s="17"/>
      <c r="R2" s="17"/>
      <c r="S2" s="17"/>
      <c r="T2" s="26"/>
      <c r="U2" s="11" t="s">
        <v>33</v>
      </c>
      <c r="V2" s="27" t="s">
        <v>106</v>
      </c>
      <c r="W2" s="11" t="s">
        <v>38</v>
      </c>
    </row>
    <row r="3" spans="1:26" ht="19.5" thickBot="1" x14ac:dyDescent="0.3">
      <c r="A3" s="118" t="s">
        <v>0</v>
      </c>
      <c r="B3" s="91" t="s">
        <v>30</v>
      </c>
      <c r="C3" s="318" t="s">
        <v>39</v>
      </c>
      <c r="D3" s="319"/>
      <c r="E3" s="318" t="s">
        <v>43</v>
      </c>
      <c r="F3" s="320"/>
      <c r="G3" s="15"/>
      <c r="H3" s="15"/>
      <c r="I3" s="15"/>
      <c r="J3" s="15"/>
      <c r="K3" s="15"/>
      <c r="L3" s="15"/>
      <c r="M3" s="15"/>
      <c r="N3" s="15"/>
      <c r="O3" s="17"/>
      <c r="P3" s="17"/>
      <c r="Q3" s="17"/>
      <c r="R3" s="17"/>
      <c r="S3" s="17"/>
      <c r="T3" s="11"/>
      <c r="U3" s="13" t="s">
        <v>7</v>
      </c>
      <c r="V3" s="13" t="s">
        <v>15</v>
      </c>
      <c r="W3" s="13" t="s">
        <v>25</v>
      </c>
    </row>
    <row r="4" spans="1:26" ht="19.5" thickTop="1" x14ac:dyDescent="0.25">
      <c r="A4" s="71" t="s">
        <v>40</v>
      </c>
      <c r="B4" s="19"/>
      <c r="C4" s="221"/>
      <c r="D4" s="222"/>
      <c r="E4" s="225"/>
      <c r="F4" s="226"/>
      <c r="G4" s="15"/>
      <c r="H4" s="15"/>
      <c r="I4" s="15"/>
      <c r="J4" s="15"/>
      <c r="K4" s="15"/>
      <c r="L4" s="15"/>
      <c r="M4" s="15"/>
      <c r="N4" s="15"/>
      <c r="O4" s="17"/>
      <c r="P4" s="17"/>
      <c r="Q4" s="17"/>
      <c r="R4" s="17"/>
      <c r="S4" s="17"/>
      <c r="T4" s="11"/>
      <c r="U4" s="13" t="s">
        <v>6</v>
      </c>
      <c r="V4" s="13" t="s">
        <v>22</v>
      </c>
      <c r="W4" s="13" t="s">
        <v>30</v>
      </c>
    </row>
    <row r="5" spans="1:26" ht="15.75" x14ac:dyDescent="0.25">
      <c r="A5" s="72"/>
      <c r="B5" s="73"/>
      <c r="C5" s="223"/>
      <c r="D5" s="224"/>
      <c r="E5" s="227"/>
      <c r="F5" s="22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9"/>
      <c r="S5" s="19"/>
      <c r="T5" s="11"/>
      <c r="U5" s="13" t="s">
        <v>8</v>
      </c>
      <c r="V5" s="13" t="s">
        <v>16</v>
      </c>
      <c r="W5" s="13" t="s">
        <v>27</v>
      </c>
      <c r="X5" s="12"/>
    </row>
    <row r="6" spans="1:26" ht="15.75" x14ac:dyDescent="0.25">
      <c r="A6" s="72"/>
      <c r="B6" s="73"/>
      <c r="C6" s="321" t="s">
        <v>45</v>
      </c>
      <c r="D6" s="322"/>
      <c r="E6" s="316" t="s">
        <v>46</v>
      </c>
      <c r="F6" s="317"/>
      <c r="G6" s="102"/>
      <c r="H6" s="102"/>
      <c r="I6" s="15"/>
      <c r="J6" s="15"/>
      <c r="K6" s="15"/>
      <c r="L6" s="15"/>
      <c r="M6" s="15"/>
      <c r="N6" s="15"/>
      <c r="O6" s="15"/>
      <c r="P6" s="15"/>
      <c r="Q6" s="15"/>
      <c r="R6" s="19"/>
      <c r="S6" s="19"/>
      <c r="T6" s="11"/>
      <c r="U6" s="13" t="s">
        <v>9</v>
      </c>
      <c r="V6" s="13" t="s">
        <v>17</v>
      </c>
      <c r="W6" s="13" t="s">
        <v>28</v>
      </c>
      <c r="X6" s="12"/>
    </row>
    <row r="7" spans="1:26" ht="15.75" x14ac:dyDescent="0.25">
      <c r="A7" s="72"/>
      <c r="B7" s="73"/>
      <c r="C7" s="250"/>
      <c r="D7" s="250"/>
      <c r="E7" s="259"/>
      <c r="F7" s="226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9"/>
      <c r="S7" s="19"/>
      <c r="T7" s="11"/>
      <c r="U7" s="13" t="s">
        <v>32</v>
      </c>
      <c r="V7" s="14" t="s">
        <v>18</v>
      </c>
      <c r="W7" s="13" t="s">
        <v>31</v>
      </c>
      <c r="X7" s="12"/>
    </row>
    <row r="8" spans="1:26" ht="15.75" x14ac:dyDescent="0.25">
      <c r="A8" s="72"/>
      <c r="B8" s="73"/>
      <c r="C8" s="250"/>
      <c r="D8" s="250"/>
      <c r="E8" s="258"/>
      <c r="F8" s="228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9"/>
      <c r="S8" s="19"/>
      <c r="T8" s="11"/>
      <c r="U8" s="13"/>
      <c r="V8" s="14" t="s">
        <v>19</v>
      </c>
      <c r="W8" s="13" t="s">
        <v>26</v>
      </c>
      <c r="X8" s="12"/>
    </row>
    <row r="9" spans="1:26" ht="15.75" x14ac:dyDescent="0.25">
      <c r="A9" s="72"/>
      <c r="B9" s="73"/>
      <c r="C9" s="120"/>
      <c r="D9" s="119"/>
      <c r="E9" s="119"/>
      <c r="F9" s="247" t="s">
        <v>5</v>
      </c>
      <c r="G9" s="248"/>
      <c r="H9" s="249"/>
      <c r="I9" s="18"/>
      <c r="J9" s="15"/>
      <c r="K9" s="15"/>
      <c r="L9" s="15"/>
      <c r="M9" s="15"/>
      <c r="N9" s="15"/>
      <c r="O9" s="15"/>
      <c r="P9" s="108"/>
      <c r="Q9" s="108"/>
      <c r="R9" s="19"/>
      <c r="S9" s="19"/>
      <c r="V9" s="14" t="s">
        <v>20</v>
      </c>
      <c r="W9" s="13" t="s">
        <v>29</v>
      </c>
      <c r="X9" s="12"/>
    </row>
    <row r="10" spans="1:26" x14ac:dyDescent="0.25">
      <c r="A10" s="105"/>
      <c r="B10" s="15"/>
      <c r="D10" s="93"/>
      <c r="E10" s="94"/>
      <c r="F10" s="206" t="s">
        <v>34</v>
      </c>
      <c r="G10" s="204" t="s">
        <v>35</v>
      </c>
      <c r="H10" s="205"/>
      <c r="I10" s="241" t="s">
        <v>1</v>
      </c>
      <c r="J10" s="240" t="s">
        <v>42</v>
      </c>
      <c r="K10" s="238" t="s">
        <v>41</v>
      </c>
      <c r="L10" s="213" t="s">
        <v>3</v>
      </c>
      <c r="M10" s="213" t="s">
        <v>4</v>
      </c>
      <c r="N10" s="215" t="s">
        <v>14</v>
      </c>
      <c r="O10" s="312" t="s">
        <v>10</v>
      </c>
      <c r="P10" s="210" t="s">
        <v>2</v>
      </c>
      <c r="Q10" s="210"/>
      <c r="R10" s="231" t="s">
        <v>96</v>
      </c>
      <c r="S10" s="232"/>
      <c r="X10" s="12"/>
    </row>
    <row r="11" spans="1:26" ht="27" customHeight="1" x14ac:dyDescent="0.25">
      <c r="A11" s="101" t="s">
        <v>11</v>
      </c>
      <c r="B11" s="92" t="s">
        <v>105</v>
      </c>
      <c r="C11" s="134" t="s">
        <v>100</v>
      </c>
      <c r="D11" s="229" t="s">
        <v>36</v>
      </c>
      <c r="E11" s="230"/>
      <c r="F11" s="207"/>
      <c r="G11" s="95" t="s">
        <v>23</v>
      </c>
      <c r="H11" s="96" t="s">
        <v>24</v>
      </c>
      <c r="I11" s="242"/>
      <c r="J11" s="240"/>
      <c r="K11" s="239"/>
      <c r="L11" s="214"/>
      <c r="M11" s="214"/>
      <c r="N11" s="216"/>
      <c r="O11" s="313"/>
      <c r="P11" s="97" t="s">
        <v>12</v>
      </c>
      <c r="Q11" s="106" t="s">
        <v>13</v>
      </c>
      <c r="R11" s="233"/>
      <c r="S11" s="234"/>
      <c r="X11" s="12"/>
    </row>
    <row r="12" spans="1:26" ht="15.75" x14ac:dyDescent="0.25">
      <c r="A12" s="23" t="s">
        <v>33</v>
      </c>
      <c r="B12" s="35" t="s">
        <v>106</v>
      </c>
      <c r="C12" s="37">
        <v>1</v>
      </c>
      <c r="D12" s="217"/>
      <c r="E12" s="218"/>
      <c r="F12" s="36"/>
      <c r="G12" s="36"/>
      <c r="H12" s="36"/>
      <c r="I12" s="5"/>
      <c r="J12" s="5"/>
      <c r="K12" s="5"/>
      <c r="L12" s="114">
        <v>45694</v>
      </c>
      <c r="M12" s="114">
        <v>46001</v>
      </c>
      <c r="N12" s="109">
        <f>(M12-L12)/7</f>
        <v>43.857142857142854</v>
      </c>
      <c r="O12" s="110">
        <f ca="1">(M12-TODAY())/7</f>
        <v>-44</v>
      </c>
      <c r="P12" s="58">
        <v>0</v>
      </c>
      <c r="Q12" s="58">
        <v>0</v>
      </c>
      <c r="R12" s="251"/>
      <c r="S12" s="251"/>
      <c r="X12" s="13"/>
      <c r="Y12" s="6"/>
      <c r="Z12" s="6"/>
    </row>
    <row r="13" spans="1:26" ht="15.75" x14ac:dyDescent="0.25">
      <c r="A13" s="22" t="s">
        <v>33</v>
      </c>
      <c r="B13" s="99"/>
      <c r="C13" s="38"/>
      <c r="D13" s="310"/>
      <c r="E13" s="311"/>
      <c r="F13" s="8"/>
      <c r="G13" s="8"/>
      <c r="H13" s="8"/>
      <c r="I13" s="8"/>
      <c r="J13" s="8"/>
      <c r="K13" s="8"/>
      <c r="L13" s="115">
        <v>45875</v>
      </c>
      <c r="M13" s="115">
        <v>45940</v>
      </c>
      <c r="N13" s="109">
        <f t="shared" ref="N13:N28" si="0">(M13-L13)/7</f>
        <v>9.2857142857142865</v>
      </c>
      <c r="O13" s="111">
        <f ca="1">(M13-TODAY())/7</f>
        <v>-52.714285714285715</v>
      </c>
      <c r="P13" s="58">
        <v>0</v>
      </c>
      <c r="Q13" s="107">
        <v>0</v>
      </c>
      <c r="R13" s="251"/>
      <c r="S13" s="251"/>
      <c r="X13" s="13"/>
      <c r="Y13" s="6"/>
      <c r="Z13" s="6"/>
    </row>
    <row r="14" spans="1:26" ht="15.75" x14ac:dyDescent="0.25">
      <c r="A14" s="21" t="s">
        <v>33</v>
      </c>
      <c r="B14" s="99"/>
      <c r="C14" s="38"/>
      <c r="D14" s="264"/>
      <c r="E14" s="265"/>
      <c r="F14" s="8"/>
      <c r="G14" s="8"/>
      <c r="H14" s="8"/>
      <c r="I14" s="8"/>
      <c r="J14" s="8"/>
      <c r="K14" s="8"/>
      <c r="L14" s="115"/>
      <c r="M14" s="115"/>
      <c r="N14" s="109">
        <f t="shared" si="0"/>
        <v>0</v>
      </c>
      <c r="O14" s="111">
        <f ca="1">(M14-TODAY())/7</f>
        <v>-6615.5714285714284</v>
      </c>
      <c r="P14" s="58">
        <v>0</v>
      </c>
      <c r="Q14" s="107">
        <v>0</v>
      </c>
      <c r="R14" s="251"/>
      <c r="S14" s="251"/>
      <c r="T14" s="6"/>
      <c r="U14" s="6"/>
      <c r="V14" s="7"/>
      <c r="W14" s="6"/>
      <c r="X14" s="6"/>
      <c r="Y14" s="6"/>
      <c r="Z14" s="6"/>
    </row>
    <row r="15" spans="1:26" ht="15.75" x14ac:dyDescent="0.25">
      <c r="A15" s="21" t="s">
        <v>33</v>
      </c>
      <c r="B15" s="99"/>
      <c r="C15" s="38"/>
      <c r="D15" s="264"/>
      <c r="E15" s="265"/>
      <c r="F15" s="8"/>
      <c r="G15" s="8"/>
      <c r="H15" s="8"/>
      <c r="I15" s="8"/>
      <c r="J15" s="8"/>
      <c r="K15" s="8"/>
      <c r="L15" s="115"/>
      <c r="M15" s="115"/>
      <c r="N15" s="109">
        <f t="shared" si="0"/>
        <v>0</v>
      </c>
      <c r="O15" s="111">
        <f ca="1">(M15-TODAY())/7</f>
        <v>-6615.5714285714284</v>
      </c>
      <c r="P15" s="58">
        <v>0</v>
      </c>
      <c r="Q15" s="107">
        <v>0</v>
      </c>
      <c r="R15" s="251"/>
      <c r="S15" s="251"/>
      <c r="T15" s="6"/>
      <c r="U15" s="6"/>
      <c r="V15" s="7"/>
      <c r="W15" s="6"/>
      <c r="X15" s="6"/>
      <c r="Y15" s="6"/>
      <c r="Z15" s="6"/>
    </row>
    <row r="16" spans="1:26" ht="19.5" customHeight="1" x14ac:dyDescent="0.25">
      <c r="A16" s="23" t="s">
        <v>33</v>
      </c>
      <c r="B16" s="123"/>
      <c r="C16" s="38"/>
      <c r="D16" s="260"/>
      <c r="E16" s="261"/>
      <c r="F16" s="8"/>
      <c r="G16" s="8"/>
      <c r="H16" s="8"/>
      <c r="I16" s="8"/>
      <c r="J16" s="8"/>
      <c r="K16" s="8"/>
      <c r="L16" s="115"/>
      <c r="M16" s="115"/>
      <c r="N16" s="109">
        <f t="shared" si="0"/>
        <v>0</v>
      </c>
      <c r="O16" s="111">
        <f ca="1">(M16-TODAY())/7</f>
        <v>-6615.5714285714284</v>
      </c>
      <c r="P16" s="58">
        <v>0</v>
      </c>
      <c r="Q16" s="107">
        <v>0</v>
      </c>
      <c r="R16" s="251"/>
      <c r="S16" s="251"/>
      <c r="T16" s="6"/>
      <c r="U16" s="6"/>
      <c r="V16" s="6"/>
      <c r="W16" s="6"/>
      <c r="X16" s="6"/>
      <c r="Y16" s="6"/>
      <c r="Z16" s="6"/>
    </row>
    <row r="17" spans="1:26" ht="1.5" customHeight="1" x14ac:dyDescent="0.25">
      <c r="A17" s="41"/>
      <c r="B17" s="31"/>
      <c r="C17" s="34"/>
      <c r="D17" s="9"/>
      <c r="E17" s="9"/>
      <c r="F17" s="10"/>
      <c r="G17" s="10"/>
      <c r="H17" s="10"/>
      <c r="I17" s="9"/>
      <c r="J17" s="9"/>
      <c r="K17" s="9"/>
      <c r="L17" s="116"/>
      <c r="M17" s="116"/>
      <c r="N17" s="112"/>
      <c r="O17" s="113"/>
      <c r="P17" s="58">
        <v>0</v>
      </c>
      <c r="Q17" s="107"/>
      <c r="R17" s="251"/>
      <c r="S17" s="251"/>
      <c r="T17" s="6"/>
      <c r="U17" s="6"/>
      <c r="V17" s="6"/>
      <c r="W17" s="6"/>
      <c r="X17" s="6"/>
      <c r="Y17" s="6"/>
      <c r="Z17" s="6"/>
    </row>
    <row r="18" spans="1:26" ht="15.75" x14ac:dyDescent="0.25">
      <c r="A18" s="21" t="s">
        <v>33</v>
      </c>
      <c r="B18" s="39" t="s">
        <v>106</v>
      </c>
      <c r="C18" s="38"/>
      <c r="D18" s="260"/>
      <c r="E18" s="261"/>
      <c r="F18" s="8"/>
      <c r="G18" s="8"/>
      <c r="H18" s="8"/>
      <c r="I18" s="8"/>
      <c r="J18" s="8"/>
      <c r="K18" s="8"/>
      <c r="L18" s="115"/>
      <c r="M18" s="115"/>
      <c r="N18" s="109">
        <f t="shared" si="0"/>
        <v>0</v>
      </c>
      <c r="O18" s="111">
        <f t="shared" ref="O18:O28" ca="1" si="1">(M18-TODAY())/7</f>
        <v>-6615.5714285714284</v>
      </c>
      <c r="P18" s="58">
        <v>0</v>
      </c>
      <c r="Q18" s="107">
        <v>0</v>
      </c>
      <c r="R18" s="251"/>
      <c r="S18" s="251"/>
      <c r="T18" s="6"/>
      <c r="U18" s="6"/>
      <c r="V18" s="6"/>
      <c r="W18" s="6"/>
      <c r="X18" s="6"/>
      <c r="Y18" s="6"/>
      <c r="Z18" s="6"/>
    </row>
    <row r="19" spans="1:26" ht="15.75" x14ac:dyDescent="0.25">
      <c r="A19" s="21" t="s">
        <v>33</v>
      </c>
      <c r="B19" s="40"/>
      <c r="C19" s="38"/>
      <c r="D19" s="260"/>
      <c r="E19" s="261"/>
      <c r="F19" s="8"/>
      <c r="G19" s="8"/>
      <c r="H19" s="8"/>
      <c r="I19" s="8"/>
      <c r="J19" s="8"/>
      <c r="K19" s="8"/>
      <c r="L19" s="115"/>
      <c r="M19" s="115"/>
      <c r="N19" s="109">
        <f t="shared" si="0"/>
        <v>0</v>
      </c>
      <c r="O19" s="111">
        <f t="shared" ca="1" si="1"/>
        <v>-6615.5714285714284</v>
      </c>
      <c r="P19" s="58">
        <v>0</v>
      </c>
      <c r="Q19" s="107">
        <v>0</v>
      </c>
      <c r="R19" s="251"/>
      <c r="S19" s="251"/>
      <c r="T19" s="6"/>
      <c r="U19" s="6"/>
      <c r="V19" s="6"/>
      <c r="W19" s="6"/>
      <c r="X19" s="6"/>
      <c r="Y19" s="6"/>
      <c r="Z19" s="6"/>
    </row>
    <row r="20" spans="1:26" ht="15.75" x14ac:dyDescent="0.25">
      <c r="A20" s="25" t="s">
        <v>33</v>
      </c>
      <c r="B20" s="40"/>
      <c r="C20" s="38"/>
      <c r="D20" s="260"/>
      <c r="E20" s="261"/>
      <c r="F20" s="8"/>
      <c r="G20" s="8"/>
      <c r="H20" s="8"/>
      <c r="I20" s="8"/>
      <c r="J20" s="8"/>
      <c r="K20" s="8"/>
      <c r="L20" s="115"/>
      <c r="M20" s="115"/>
      <c r="N20" s="109">
        <f t="shared" si="0"/>
        <v>0</v>
      </c>
      <c r="O20" s="111">
        <f t="shared" ca="1" si="1"/>
        <v>-6615.5714285714284</v>
      </c>
      <c r="P20" s="58">
        <v>0</v>
      </c>
      <c r="Q20" s="107">
        <v>0</v>
      </c>
      <c r="R20" s="251"/>
      <c r="S20" s="251"/>
      <c r="T20" s="6"/>
      <c r="U20" s="6"/>
      <c r="V20" s="6"/>
      <c r="W20" s="6"/>
      <c r="X20" s="6"/>
      <c r="Y20" s="6"/>
      <c r="Z20" s="6"/>
    </row>
    <row r="21" spans="1:26" ht="15.75" x14ac:dyDescent="0.25">
      <c r="A21" s="25" t="s">
        <v>33</v>
      </c>
      <c r="B21" s="40"/>
      <c r="C21" s="38"/>
      <c r="D21" s="260"/>
      <c r="E21" s="261"/>
      <c r="F21" s="8"/>
      <c r="G21" s="8"/>
      <c r="H21" s="8"/>
      <c r="I21" s="8"/>
      <c r="J21" s="8"/>
      <c r="K21" s="8"/>
      <c r="L21" s="115"/>
      <c r="M21" s="115"/>
      <c r="N21" s="109">
        <f t="shared" si="0"/>
        <v>0</v>
      </c>
      <c r="O21" s="111">
        <f t="shared" ca="1" si="1"/>
        <v>-6615.5714285714284</v>
      </c>
      <c r="P21" s="58">
        <v>0</v>
      </c>
      <c r="Q21" s="107">
        <v>0</v>
      </c>
      <c r="R21" s="251"/>
      <c r="S21" s="251"/>
      <c r="T21" s="6"/>
      <c r="U21" s="6"/>
      <c r="V21" s="6"/>
      <c r="W21" s="6"/>
      <c r="X21" s="6"/>
      <c r="Y21" s="6"/>
      <c r="Z21" s="6"/>
    </row>
    <row r="22" spans="1:26" ht="15.75" x14ac:dyDescent="0.25">
      <c r="A22" s="25" t="s">
        <v>33</v>
      </c>
      <c r="B22" s="40"/>
      <c r="C22" s="38"/>
      <c r="D22" s="260"/>
      <c r="E22" s="261"/>
      <c r="F22" s="8"/>
      <c r="G22" s="8"/>
      <c r="H22" s="8"/>
      <c r="I22" s="8"/>
      <c r="J22" s="8"/>
      <c r="K22" s="8"/>
      <c r="L22" s="115"/>
      <c r="M22" s="115"/>
      <c r="N22" s="109">
        <f t="shared" si="0"/>
        <v>0</v>
      </c>
      <c r="O22" s="111">
        <f ca="1">(M22-TODAY())/7</f>
        <v>-6615.5714285714284</v>
      </c>
      <c r="P22" s="58">
        <v>0</v>
      </c>
      <c r="Q22" s="107">
        <v>0</v>
      </c>
      <c r="R22" s="251"/>
      <c r="S22" s="251"/>
      <c r="T22" s="6"/>
      <c r="U22" s="6"/>
      <c r="V22" s="6"/>
      <c r="W22" s="6"/>
      <c r="X22" s="6"/>
      <c r="Y22" s="6"/>
      <c r="Z22" s="6"/>
    </row>
    <row r="23" spans="1:26" ht="0.75" customHeight="1" x14ac:dyDescent="0.25">
      <c r="A23" s="24"/>
      <c r="B23" s="31"/>
      <c r="C23" s="34"/>
      <c r="D23" s="9"/>
      <c r="E23" s="9"/>
      <c r="F23" s="10"/>
      <c r="G23" s="10"/>
      <c r="H23" s="10"/>
      <c r="I23" s="9"/>
      <c r="J23" s="9"/>
      <c r="K23" s="9"/>
      <c r="L23" s="116"/>
      <c r="M23" s="116"/>
      <c r="N23" s="112"/>
      <c r="O23" s="113"/>
      <c r="P23" s="58">
        <v>0</v>
      </c>
      <c r="Q23" s="107"/>
      <c r="R23" s="251"/>
      <c r="S23" s="251"/>
      <c r="T23" s="6"/>
      <c r="U23" s="6"/>
      <c r="V23" s="6"/>
      <c r="W23" s="6"/>
      <c r="X23" s="6"/>
      <c r="Y23" s="6"/>
      <c r="Z23" s="6"/>
    </row>
    <row r="24" spans="1:26" ht="15.75" x14ac:dyDescent="0.25">
      <c r="A24" s="21" t="s">
        <v>33</v>
      </c>
      <c r="B24" s="35" t="s">
        <v>106</v>
      </c>
      <c r="C24" s="38"/>
      <c r="D24" s="260"/>
      <c r="E24" s="261"/>
      <c r="F24" s="8"/>
      <c r="G24" s="8"/>
      <c r="H24" s="8"/>
      <c r="I24" s="8"/>
      <c r="J24" s="8"/>
      <c r="K24" s="8"/>
      <c r="L24" s="115"/>
      <c r="M24" s="115"/>
      <c r="N24" s="109">
        <f t="shared" si="0"/>
        <v>0</v>
      </c>
      <c r="O24" s="111">
        <f t="shared" ca="1" si="1"/>
        <v>-6615.5714285714284</v>
      </c>
      <c r="P24" s="58">
        <v>0</v>
      </c>
      <c r="Q24" s="107">
        <v>0</v>
      </c>
      <c r="R24" s="251"/>
      <c r="S24" s="251"/>
      <c r="T24" s="6"/>
      <c r="U24" s="6"/>
      <c r="V24" s="6"/>
      <c r="W24" s="6"/>
      <c r="X24" s="6"/>
      <c r="Y24" s="6"/>
      <c r="Z24" s="6"/>
    </row>
    <row r="25" spans="1:26" ht="15.75" x14ac:dyDescent="0.25">
      <c r="A25" s="21" t="s">
        <v>33</v>
      </c>
      <c r="B25" s="20"/>
      <c r="C25" s="38"/>
      <c r="D25" s="260"/>
      <c r="E25" s="261"/>
      <c r="F25" s="8"/>
      <c r="G25" s="8"/>
      <c r="H25" s="8"/>
      <c r="I25" s="8"/>
      <c r="J25" s="8"/>
      <c r="K25" s="8"/>
      <c r="L25" s="115"/>
      <c r="M25" s="115"/>
      <c r="N25" s="109">
        <f t="shared" si="0"/>
        <v>0</v>
      </c>
      <c r="O25" s="111">
        <f t="shared" ca="1" si="1"/>
        <v>-6615.5714285714284</v>
      </c>
      <c r="P25" s="58">
        <v>0</v>
      </c>
      <c r="Q25" s="107">
        <v>3434</v>
      </c>
      <c r="R25" s="251"/>
      <c r="S25" s="251"/>
      <c r="T25" s="6"/>
      <c r="U25" s="6"/>
      <c r="V25" s="6"/>
      <c r="W25" s="6"/>
      <c r="X25" s="6"/>
      <c r="Y25" s="6"/>
      <c r="Z25" s="6"/>
    </row>
    <row r="26" spans="1:26" ht="15.75" x14ac:dyDescent="0.25">
      <c r="A26" s="21" t="s">
        <v>33</v>
      </c>
      <c r="B26" s="20"/>
      <c r="C26" s="38"/>
      <c r="D26" s="260"/>
      <c r="E26" s="261"/>
      <c r="F26" s="8"/>
      <c r="G26" s="8"/>
      <c r="H26" s="8"/>
      <c r="I26" s="8"/>
      <c r="J26" s="8"/>
      <c r="K26" s="8"/>
      <c r="L26" s="115"/>
      <c r="M26" s="115"/>
      <c r="N26" s="109">
        <f t="shared" si="0"/>
        <v>0</v>
      </c>
      <c r="O26" s="111">
        <f t="shared" ca="1" si="1"/>
        <v>-6615.5714285714284</v>
      </c>
      <c r="P26" s="58">
        <v>0</v>
      </c>
      <c r="Q26" s="107">
        <v>8998989</v>
      </c>
      <c r="R26" s="251"/>
      <c r="S26" s="251"/>
      <c r="T26" s="6"/>
      <c r="U26" s="6"/>
      <c r="V26" s="6"/>
      <c r="W26" s="6"/>
      <c r="X26" s="6"/>
      <c r="Y26" s="6"/>
      <c r="Z26" s="6"/>
    </row>
    <row r="27" spans="1:26" ht="15.75" x14ac:dyDescent="0.25">
      <c r="A27" s="21" t="s">
        <v>33</v>
      </c>
      <c r="B27" s="20"/>
      <c r="C27" s="38"/>
      <c r="D27" s="260"/>
      <c r="E27" s="261"/>
      <c r="F27" s="8"/>
      <c r="G27" s="8"/>
      <c r="H27" s="8"/>
      <c r="I27" s="8"/>
      <c r="J27" s="8"/>
      <c r="K27" s="8"/>
      <c r="L27" s="115"/>
      <c r="M27" s="115"/>
      <c r="N27" s="109">
        <f t="shared" si="0"/>
        <v>0</v>
      </c>
      <c r="O27" s="111">
        <f t="shared" ca="1" si="1"/>
        <v>-6615.5714285714284</v>
      </c>
      <c r="P27" s="58">
        <v>0</v>
      </c>
      <c r="Q27" s="107">
        <v>0</v>
      </c>
      <c r="R27" s="251"/>
      <c r="S27" s="251"/>
      <c r="T27" s="6"/>
      <c r="U27" s="6"/>
      <c r="V27" s="6"/>
      <c r="W27" s="6"/>
      <c r="X27" s="6"/>
      <c r="Y27" s="6"/>
      <c r="Z27" s="6"/>
    </row>
    <row r="28" spans="1:26" ht="15.75" x14ac:dyDescent="0.25">
      <c r="A28" s="21" t="s">
        <v>33</v>
      </c>
      <c r="B28" s="32"/>
      <c r="C28" s="3"/>
      <c r="D28" s="260"/>
      <c r="E28" s="261"/>
      <c r="F28" s="8"/>
      <c r="G28" s="8"/>
      <c r="H28" s="8"/>
      <c r="I28" s="8"/>
      <c r="J28" s="8"/>
      <c r="K28" s="8"/>
      <c r="L28" s="115"/>
      <c r="M28" s="115"/>
      <c r="N28" s="109">
        <f t="shared" si="0"/>
        <v>0</v>
      </c>
      <c r="O28" s="111">
        <f t="shared" ca="1" si="1"/>
        <v>-6615.5714285714284</v>
      </c>
      <c r="P28" s="58">
        <v>0</v>
      </c>
      <c r="Q28" s="107">
        <v>0</v>
      </c>
      <c r="R28" s="251"/>
      <c r="S28" s="251"/>
      <c r="T28" s="6"/>
      <c r="U28" s="6"/>
      <c r="V28" s="6"/>
      <c r="W28" s="6"/>
      <c r="X28" s="6"/>
      <c r="Y28" s="6"/>
      <c r="Z28" s="6"/>
    </row>
    <row r="29" spans="1:26" ht="0.75" customHeight="1" x14ac:dyDescent="0.25">
      <c r="A29" s="24"/>
      <c r="B29" s="31"/>
      <c r="C29" s="34"/>
      <c r="D29" s="9"/>
      <c r="E29" s="9"/>
      <c r="F29" s="10"/>
      <c r="G29" s="10"/>
      <c r="H29" s="10"/>
      <c r="I29" s="9"/>
      <c r="J29" s="9"/>
      <c r="K29" s="9"/>
      <c r="L29" s="116"/>
      <c r="M29" s="116"/>
      <c r="N29" s="112"/>
      <c r="O29" s="113"/>
      <c r="P29" s="58">
        <v>0</v>
      </c>
      <c r="Q29" s="107"/>
      <c r="R29" s="251"/>
      <c r="S29" s="251"/>
      <c r="T29" s="6"/>
      <c r="U29" s="6"/>
      <c r="V29" s="6"/>
      <c r="W29" s="6"/>
      <c r="X29" s="6"/>
      <c r="Y29" s="6"/>
      <c r="Z29" s="6"/>
    </row>
    <row r="30" spans="1:26" ht="15.75" x14ac:dyDescent="0.25">
      <c r="A30" s="21" t="s">
        <v>33</v>
      </c>
      <c r="B30" s="35" t="s">
        <v>106</v>
      </c>
      <c r="C30" s="33"/>
      <c r="D30" s="260"/>
      <c r="E30" s="261"/>
      <c r="F30" s="8"/>
      <c r="G30" s="8"/>
      <c r="H30" s="8"/>
      <c r="I30" s="8"/>
      <c r="J30" s="8"/>
      <c r="K30" s="8"/>
      <c r="L30" s="115"/>
      <c r="M30" s="115"/>
      <c r="N30" s="109">
        <f t="shared" ref="N30:N34" si="2">(M30-L30)/7</f>
        <v>0</v>
      </c>
      <c r="O30" s="111">
        <f t="shared" ref="O30:O34" ca="1" si="3">(M30-TODAY())/7</f>
        <v>-6615.5714285714284</v>
      </c>
      <c r="P30" s="58">
        <v>0</v>
      </c>
      <c r="Q30" s="107">
        <v>0</v>
      </c>
      <c r="R30" s="251"/>
      <c r="S30" s="251"/>
      <c r="T30" s="6"/>
      <c r="U30" s="6"/>
      <c r="V30" s="6"/>
      <c r="W30" s="6"/>
      <c r="X30" s="6"/>
      <c r="Y30" s="6"/>
      <c r="Z30" s="6"/>
    </row>
    <row r="31" spans="1:26" ht="15.75" x14ac:dyDescent="0.25">
      <c r="A31" s="21" t="s">
        <v>33</v>
      </c>
      <c r="B31" s="20"/>
      <c r="C31" s="33"/>
      <c r="D31" s="260"/>
      <c r="E31" s="261"/>
      <c r="F31" s="8"/>
      <c r="G31" s="8"/>
      <c r="H31" s="8"/>
      <c r="I31" s="8"/>
      <c r="J31" s="8"/>
      <c r="K31" s="8"/>
      <c r="L31" s="115"/>
      <c r="M31" s="115"/>
      <c r="N31" s="109">
        <f t="shared" si="2"/>
        <v>0</v>
      </c>
      <c r="O31" s="111">
        <f t="shared" ca="1" si="3"/>
        <v>-6615.5714285714284</v>
      </c>
      <c r="P31" s="58">
        <v>0</v>
      </c>
      <c r="Q31" s="107">
        <v>0</v>
      </c>
      <c r="R31" s="251"/>
      <c r="S31" s="251"/>
      <c r="T31" s="6"/>
      <c r="U31" s="6"/>
      <c r="V31" s="6"/>
      <c r="W31" s="6"/>
      <c r="X31" s="6"/>
      <c r="Y31" s="6"/>
      <c r="Z31" s="6"/>
    </row>
    <row r="32" spans="1:26" ht="15.75" x14ac:dyDescent="0.25">
      <c r="A32" s="21" t="s">
        <v>33</v>
      </c>
      <c r="B32" s="20"/>
      <c r="C32" s="33"/>
      <c r="D32" s="260"/>
      <c r="E32" s="261"/>
      <c r="F32" s="8"/>
      <c r="G32" s="8"/>
      <c r="H32" s="8"/>
      <c r="I32" s="8"/>
      <c r="J32" s="8"/>
      <c r="K32" s="8"/>
      <c r="L32" s="115"/>
      <c r="M32" s="115"/>
      <c r="N32" s="109">
        <f t="shared" si="2"/>
        <v>0</v>
      </c>
      <c r="O32" s="111">
        <f t="shared" ca="1" si="3"/>
        <v>-6615.5714285714284</v>
      </c>
      <c r="P32" s="58">
        <v>0</v>
      </c>
      <c r="Q32" s="107">
        <v>0</v>
      </c>
      <c r="R32" s="251"/>
      <c r="S32" s="251"/>
      <c r="T32" s="6"/>
      <c r="U32" s="6"/>
      <c r="V32" s="6"/>
      <c r="W32" s="6"/>
      <c r="X32" s="6"/>
      <c r="Y32" s="6"/>
      <c r="Z32" s="6"/>
    </row>
    <row r="33" spans="1:26" ht="15.75" x14ac:dyDescent="0.25">
      <c r="A33" s="21" t="s">
        <v>33</v>
      </c>
      <c r="B33" s="20"/>
      <c r="C33" s="33"/>
      <c r="D33" s="260"/>
      <c r="E33" s="261"/>
      <c r="F33" s="8"/>
      <c r="G33" s="8"/>
      <c r="H33" s="8"/>
      <c r="I33" s="8"/>
      <c r="J33" s="8"/>
      <c r="K33" s="8"/>
      <c r="L33" s="115"/>
      <c r="M33" s="115"/>
      <c r="N33" s="109">
        <f t="shared" si="2"/>
        <v>0</v>
      </c>
      <c r="O33" s="111">
        <f t="shared" ca="1" si="3"/>
        <v>-6615.5714285714284</v>
      </c>
      <c r="P33" s="58">
        <v>0</v>
      </c>
      <c r="Q33" s="107">
        <v>0</v>
      </c>
      <c r="R33" s="251"/>
      <c r="S33" s="251"/>
      <c r="T33" s="6"/>
      <c r="U33" s="6"/>
      <c r="V33" s="6"/>
      <c r="W33" s="6"/>
      <c r="X33" s="6"/>
      <c r="Y33" s="6"/>
      <c r="Z33" s="6"/>
    </row>
    <row r="34" spans="1:26" ht="15.75" x14ac:dyDescent="0.25">
      <c r="A34" s="21" t="s">
        <v>33</v>
      </c>
      <c r="B34" s="32"/>
      <c r="C34" s="33"/>
      <c r="D34" s="260"/>
      <c r="E34" s="261"/>
      <c r="F34" s="8"/>
      <c r="G34" s="8"/>
      <c r="H34" s="8"/>
      <c r="I34" s="8"/>
      <c r="J34" s="8"/>
      <c r="K34" s="8"/>
      <c r="L34" s="115"/>
      <c r="M34" s="115"/>
      <c r="N34" s="109">
        <f t="shared" si="2"/>
        <v>0</v>
      </c>
      <c r="O34" s="111">
        <f t="shared" ca="1" si="3"/>
        <v>-6615.5714285714284</v>
      </c>
      <c r="P34" s="58">
        <v>0</v>
      </c>
      <c r="Q34" s="107">
        <v>0</v>
      </c>
      <c r="R34" s="251"/>
      <c r="S34" s="251"/>
      <c r="T34" s="6"/>
      <c r="U34" s="6"/>
      <c r="V34" s="6"/>
      <c r="W34" s="6"/>
      <c r="X34" s="6"/>
      <c r="Y34" s="6"/>
      <c r="Z34" s="6"/>
    </row>
    <row r="35" spans="1:26" ht="15.75" x14ac:dyDescent="0.25">
      <c r="A35" s="15"/>
      <c r="B35" s="2"/>
      <c r="C35" s="16"/>
      <c r="D35" s="15"/>
      <c r="E35" s="15"/>
      <c r="F35" s="15"/>
      <c r="G35" s="15"/>
      <c r="H35" s="15"/>
      <c r="I35" s="15"/>
      <c r="J35" s="15"/>
      <c r="K35" s="15"/>
      <c r="L35" s="42"/>
      <c r="M35" s="42"/>
      <c r="N35" s="15"/>
      <c r="O35" s="15"/>
      <c r="P35" s="15"/>
      <c r="Q35" s="77">
        <f>SUM(Q12:Q34)</f>
        <v>9002423</v>
      </c>
      <c r="R35" s="19"/>
      <c r="S35" s="19"/>
      <c r="T35" s="3"/>
    </row>
    <row r="36" spans="1:26" x14ac:dyDescent="0.25">
      <c r="A36" s="15"/>
      <c r="B36" s="2"/>
      <c r="C36" s="16"/>
      <c r="D36" s="15"/>
      <c r="E36" s="15"/>
      <c r="F36" s="15"/>
      <c r="G36" s="15"/>
      <c r="H36" s="15"/>
      <c r="I36" s="15"/>
      <c r="J36" s="15"/>
      <c r="K36" s="15"/>
      <c r="L36" s="42"/>
      <c r="M36" s="42"/>
      <c r="N36" s="15"/>
      <c r="O36" s="15"/>
      <c r="P36" s="15"/>
      <c r="Q36" s="15"/>
      <c r="R36" s="19"/>
      <c r="S36" s="19"/>
      <c r="T36" s="3"/>
    </row>
    <row r="37" spans="1:26" x14ac:dyDescent="0.25">
      <c r="A37" s="15"/>
      <c r="B37" s="2"/>
      <c r="C37" s="16"/>
      <c r="D37" s="15"/>
      <c r="E37" s="15"/>
      <c r="F37" s="15"/>
      <c r="G37" s="15"/>
      <c r="H37" s="15"/>
      <c r="I37" s="15"/>
      <c r="J37" s="15"/>
      <c r="K37" s="15"/>
      <c r="L37" s="42"/>
      <c r="M37" s="42"/>
      <c r="N37" s="15"/>
      <c r="O37" s="15"/>
      <c r="P37" s="15"/>
      <c r="Q37" s="15"/>
      <c r="R37" s="19"/>
      <c r="S37" s="19"/>
      <c r="T37" s="3"/>
    </row>
    <row r="38" spans="1:26" x14ac:dyDescent="0.25">
      <c r="B38" s="2"/>
      <c r="C38" s="1"/>
      <c r="L38"/>
      <c r="M38"/>
      <c r="N38" s="2"/>
      <c r="O38" s="2"/>
      <c r="P38" s="2"/>
      <c r="R38" s="3"/>
      <c r="S38" s="3"/>
      <c r="T38" s="3"/>
    </row>
    <row r="39" spans="1:26" x14ac:dyDescent="0.25">
      <c r="B39" s="2"/>
      <c r="C39" s="1"/>
      <c r="L39"/>
      <c r="M39"/>
      <c r="N39" s="2"/>
      <c r="O39" s="2"/>
      <c r="P39" s="2"/>
      <c r="R39" s="3"/>
      <c r="S39" s="3"/>
      <c r="T39" s="3"/>
    </row>
    <row r="40" spans="1:26" x14ac:dyDescent="0.25">
      <c r="B40" s="2"/>
      <c r="C40" s="1"/>
      <c r="N40" s="2"/>
      <c r="O40" s="2"/>
      <c r="P40" s="2"/>
      <c r="R40" s="3"/>
      <c r="S40" s="3"/>
      <c r="T40" s="3"/>
    </row>
    <row r="41" spans="1:26" x14ac:dyDescent="0.25">
      <c r="B41" s="2"/>
      <c r="C41" s="1"/>
      <c r="N41" s="2"/>
      <c r="O41" s="2"/>
      <c r="P41" s="2"/>
      <c r="R41" s="3"/>
      <c r="S41" s="3"/>
      <c r="T41" s="3"/>
    </row>
    <row r="42" spans="1:26" x14ac:dyDescent="0.25">
      <c r="B42" s="2"/>
      <c r="C42" s="1"/>
      <c r="N42" s="2"/>
      <c r="O42" s="2"/>
      <c r="P42" s="2"/>
      <c r="R42" s="3"/>
      <c r="S42" s="3"/>
      <c r="T42" s="3"/>
    </row>
    <row r="43" spans="1:26" x14ac:dyDescent="0.25">
      <c r="B43" s="2"/>
      <c r="C43" s="1"/>
      <c r="N43" s="2"/>
      <c r="O43" s="2"/>
      <c r="P43" s="2"/>
      <c r="R43" s="3"/>
      <c r="S43" s="3"/>
      <c r="T43" s="3"/>
    </row>
    <row r="44" spans="1:26" x14ac:dyDescent="0.25">
      <c r="B44" s="2"/>
      <c r="N44" s="2"/>
      <c r="O44" s="2"/>
      <c r="P44" s="2"/>
    </row>
  </sheetData>
  <dataConsolidate/>
  <mergeCells count="66">
    <mergeCell ref="C7:D8"/>
    <mergeCell ref="E7:F8"/>
    <mergeCell ref="F9:H9"/>
    <mergeCell ref="A1:S1"/>
    <mergeCell ref="E6:F6"/>
    <mergeCell ref="C2:D2"/>
    <mergeCell ref="C3:D3"/>
    <mergeCell ref="E3:F3"/>
    <mergeCell ref="C4:D5"/>
    <mergeCell ref="E4:F5"/>
    <mergeCell ref="C6:D6"/>
    <mergeCell ref="P10:Q10"/>
    <mergeCell ref="D11:E11"/>
    <mergeCell ref="D12:E12"/>
    <mergeCell ref="D13:E13"/>
    <mergeCell ref="J10:J11"/>
    <mergeCell ref="K10:K11"/>
    <mergeCell ref="L10:L11"/>
    <mergeCell ref="M10:M11"/>
    <mergeCell ref="N10:N11"/>
    <mergeCell ref="F10:F11"/>
    <mergeCell ref="G10:H10"/>
    <mergeCell ref="I10:I11"/>
    <mergeCell ref="O10:O11"/>
    <mergeCell ref="D14:E14"/>
    <mergeCell ref="D15:E15"/>
    <mergeCell ref="D16:E16"/>
    <mergeCell ref="D18:E18"/>
    <mergeCell ref="D19:E19"/>
    <mergeCell ref="D20:E20"/>
    <mergeCell ref="D21:E21"/>
    <mergeCell ref="D22:E22"/>
    <mergeCell ref="D24:E24"/>
    <mergeCell ref="D25:E25"/>
    <mergeCell ref="D32:E32"/>
    <mergeCell ref="D33:E33"/>
    <mergeCell ref="D34:E34"/>
    <mergeCell ref="D26:E26"/>
    <mergeCell ref="D27:E27"/>
    <mergeCell ref="D28:E28"/>
    <mergeCell ref="D30:E30"/>
    <mergeCell ref="D31:E31"/>
    <mergeCell ref="R10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31:S31"/>
    <mergeCell ref="R32:S32"/>
    <mergeCell ref="R33:S33"/>
    <mergeCell ref="R34:S34"/>
    <mergeCell ref="R26:S26"/>
    <mergeCell ref="R27:S27"/>
    <mergeCell ref="R28:S28"/>
    <mergeCell ref="R29:S29"/>
    <mergeCell ref="R30:S30"/>
  </mergeCells>
  <conditionalFormatting sqref="B10:B12 A10:A34 D10:O34 C12:C34 B17:B34">
    <cfRule type="expression" dxfId="30" priority="1">
      <formula>$A10=$U$7</formula>
    </cfRule>
    <cfRule type="expression" dxfId="29" priority="2">
      <formula>$A10=$U$3</formula>
    </cfRule>
    <cfRule type="expression" dxfId="28" priority="3">
      <formula>$A10=$U$4</formula>
    </cfRule>
    <cfRule type="expression" dxfId="27" priority="4">
      <formula>$A10=$U$5</formula>
    </cfRule>
    <cfRule type="expression" dxfId="26" priority="5">
      <formula>$A10=$U$6</formula>
    </cfRule>
  </conditionalFormatting>
  <conditionalFormatting sqref="B17 D17:K17 N17:O17 B23 D23:K23 N23:O23 B29 D29:K29 N29:O29">
    <cfRule type="expression" dxfId="25" priority="31">
      <formula>#REF!=$U$4</formula>
    </cfRule>
    <cfRule type="expression" dxfId="24" priority="34">
      <formula>#REF!=$U$3</formula>
    </cfRule>
  </conditionalFormatting>
  <conditionalFormatting sqref="B17 D17:K17 N17:O17 B23 D23:K23 N23:O23 D29:K29 N29:O29 B29">
    <cfRule type="expression" dxfId="23" priority="30">
      <formula>#REF!=$U$6</formula>
    </cfRule>
  </conditionalFormatting>
  <conditionalFormatting sqref="C11">
    <cfRule type="expression" dxfId="22" priority="28">
      <formula>$A10=$U$6</formula>
    </cfRule>
    <cfRule type="expression" dxfId="21" priority="27">
      <formula>$A10=$U$5</formula>
    </cfRule>
    <cfRule type="expression" dxfId="20" priority="26">
      <formula>$A10=$U$4</formula>
    </cfRule>
    <cfRule type="expression" dxfId="19" priority="25">
      <formula>$A10=$U$3</formula>
    </cfRule>
    <cfRule type="expression" dxfId="18" priority="24">
      <formula>$A10=$U$7</formula>
    </cfRule>
  </conditionalFormatting>
  <conditionalFormatting sqref="D17:K17 N17:O17 D23:K23 N23:O23 D29:K29 N29:O29 B17 B23">
    <cfRule type="expression" dxfId="17" priority="29">
      <formula>#REF!=$U$5</formula>
    </cfRule>
  </conditionalFormatting>
  <conditionalFormatting sqref="D17:O17 D23:O23 D29:O29">
    <cfRule type="expression" dxfId="16" priority="15">
      <formula>#REF!=$U$7</formula>
    </cfRule>
    <cfRule type="expression" dxfId="15" priority="16">
      <formula>#REF!=$U$3</formula>
    </cfRule>
    <cfRule type="expression" dxfId="14" priority="17">
      <formula>#REF!=$U$6</formula>
    </cfRule>
    <cfRule type="expression" dxfId="13" priority="18">
      <formula>#REF!=$U$5</formula>
    </cfRule>
    <cfRule type="expression" dxfId="12" priority="19">
      <formula>#REF!=$U$4</formula>
    </cfRule>
    <cfRule type="expression" dxfId="11" priority="11">
      <formula>#REF!=$U$3</formula>
    </cfRule>
    <cfRule type="expression" dxfId="10" priority="12">
      <formula>#REF!=$U$4</formula>
    </cfRule>
    <cfRule type="expression" dxfId="9" priority="13">
      <formula>#REF!=$U$5</formula>
    </cfRule>
    <cfRule type="expression" dxfId="8" priority="14">
      <formula>#REF!=$U$6</formula>
    </cfRule>
  </conditionalFormatting>
  <conditionalFormatting sqref="G10">
    <cfRule type="expression" dxfId="7" priority="10">
      <formula>$A11=$U$3</formula>
    </cfRule>
    <cfRule type="expression" dxfId="6" priority="9">
      <formula>$A11=$U$4</formula>
    </cfRule>
    <cfRule type="expression" dxfId="5" priority="8">
      <formula>$A11=$U$5</formula>
    </cfRule>
    <cfRule type="expression" dxfId="4" priority="7">
      <formula>$A11=$U$6</formula>
    </cfRule>
  </conditionalFormatting>
  <conditionalFormatting sqref="L16:N16 L22:N22 B28 D28:N28 B34 D34:N34">
    <cfRule type="expression" dxfId="3" priority="20">
      <formula>#REF!=$U$6</formula>
    </cfRule>
    <cfRule type="expression" dxfId="2" priority="22">
      <formula>#REF!=$U$4</formula>
    </cfRule>
    <cfRule type="expression" dxfId="1" priority="23">
      <formula>#REF!=$U$3</formula>
    </cfRule>
  </conditionalFormatting>
  <conditionalFormatting sqref="L16:N16 L22:N22 D28:N28 B28:B29 B34 D34:N34">
    <cfRule type="expression" dxfId="0" priority="21">
      <formula>#REF!=$U$5</formula>
    </cfRule>
  </conditionalFormatting>
  <conditionalFormatting sqref="U2:U6">
    <cfRule type="colorScale" priority="3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7">
    <cfRule type="colorScale" priority="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U14:U21">
    <cfRule type="colorScale" priority="3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W2">
    <cfRule type="colorScale" priority="3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dataValidations count="4">
    <dataValidation type="list" showInputMessage="1" showErrorMessage="1" sqref="B3" xr:uid="{00000000-0002-0000-0600-000000000000}">
      <formula1>$W$2:$W$10</formula1>
    </dataValidation>
    <dataValidation type="list" showInputMessage="1" showErrorMessage="1" sqref="B18 B12 B30 B24" xr:uid="{00000000-0002-0000-0600-000001000000}">
      <formula1>$V$2:$V$9</formula1>
    </dataValidation>
    <dataValidation type="list" showInputMessage="1" showErrorMessage="1" sqref="A12:A16 A24:A28 A30:A34 A18:A22" xr:uid="{00000000-0002-0000-0600-000002000000}">
      <formula1>$U$2:$U$7</formula1>
    </dataValidation>
    <dataValidation type="date" allowBlank="1" showInputMessage="1" showErrorMessage="1" sqref="L12:L16 L24:L28 L18:L22 L30:L34" xr:uid="{00000000-0002-0000-0600-000003000000}">
      <formula1>L12</formula1>
      <formula2>M12</formula2>
    </dataValidation>
  </dataValidations>
  <printOptions horizontalCentered="1" verticalCentered="1"/>
  <pageMargins left="0.35433070866141736" right="0.35433070866141736" top="0.98425196850393704" bottom="0.98425196850393704" header="0.51181102362204722" footer="0.51181102362204722"/>
  <pageSetup paperSize="5" fitToWidth="0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Información General</vt:lpstr>
      <vt:lpstr>Investigación</vt:lpstr>
      <vt:lpstr>Encarnación</vt:lpstr>
      <vt:lpstr>Evangelización</vt:lpstr>
      <vt:lpstr>Entrenamiento</vt:lpstr>
      <vt:lpstr>Autocuidado</vt:lpstr>
      <vt:lpstr>PDM 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 .</cp:lastModifiedBy>
  <dcterms:created xsi:type="dcterms:W3CDTF">2025-09-17T14:40:03Z</dcterms:created>
  <dcterms:modified xsi:type="dcterms:W3CDTF">2026-10-14T16:21:31Z</dcterms:modified>
</cp:coreProperties>
</file>